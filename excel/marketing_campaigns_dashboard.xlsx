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xj\Documents\DATA ANALYST\git projects\excel\"/>
    </mc:Choice>
  </mc:AlternateContent>
  <xr:revisionPtr revIDLastSave="0" documentId="13_ncr:20001_{4E765868-7D4A-4DA9-94B5-35C7AFFD197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ampaign Data" sheetId="1" r:id="rId1"/>
    <sheet name="Sheet1" sheetId="4" r:id="rId2"/>
    <sheet name="Pivot Tables" sheetId="2" r:id="rId3"/>
    <sheet name="Dashboard" sheetId="3" r:id="rId4"/>
  </sheets>
  <definedNames>
    <definedName name="_xlnm._FilterDatabase" localSheetId="0" hidden="1">'Campaign Data'!$A$1:$P$501</definedName>
  </definedNames>
  <calcPr calcId="191029" forceFullCalc="1"/>
  <pivotCaches>
    <pivotCache cacheId="3" r:id="rId5"/>
    <pivotCache cacheId="7" r:id="rId6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4" i="2" l="1"/>
  <c r="F63" i="3" s="1"/>
  <c r="E54" i="2"/>
  <c r="E63" i="3" s="1"/>
  <c r="D54" i="2"/>
  <c r="D63" i="3" s="1"/>
  <c r="C54" i="2"/>
  <c r="C63" i="3" s="1"/>
  <c r="B54" i="2"/>
  <c r="B63" i="3" s="1"/>
  <c r="A54" i="2"/>
  <c r="A63" i="3" s="1"/>
  <c r="F53" i="2"/>
  <c r="F62" i="3" s="1"/>
  <c r="E53" i="2"/>
  <c r="E62" i="3" s="1"/>
  <c r="D53" i="2"/>
  <c r="D62" i="3" s="1"/>
  <c r="C53" i="2"/>
  <c r="C62" i="3" s="1"/>
  <c r="B53" i="2"/>
  <c r="B62" i="3" s="1"/>
  <c r="A53" i="2"/>
  <c r="A62" i="3" s="1"/>
  <c r="F52" i="2"/>
  <c r="F61" i="3" s="1"/>
  <c r="E52" i="2"/>
  <c r="E61" i="3" s="1"/>
  <c r="D52" i="2"/>
  <c r="D61" i="3" s="1"/>
  <c r="C52" i="2"/>
  <c r="C61" i="3" s="1"/>
  <c r="B52" i="2"/>
  <c r="B61" i="3" s="1"/>
  <c r="A52" i="2"/>
  <c r="A61" i="3" s="1"/>
  <c r="F51" i="2"/>
  <c r="F60" i="3" s="1"/>
  <c r="E51" i="2"/>
  <c r="E60" i="3" s="1"/>
  <c r="D51" i="2"/>
  <c r="D60" i="3" s="1"/>
  <c r="C51" i="2"/>
  <c r="C60" i="3" s="1"/>
  <c r="B51" i="2"/>
  <c r="B60" i="3" s="1"/>
  <c r="A51" i="2"/>
  <c r="A60" i="3" s="1"/>
  <c r="F50" i="2"/>
  <c r="F59" i="3" s="1"/>
  <c r="E50" i="2"/>
  <c r="E59" i="3" s="1"/>
  <c r="D50" i="2"/>
  <c r="D59" i="3" s="1"/>
  <c r="C50" i="2"/>
  <c r="C59" i="3" s="1"/>
  <c r="B50" i="2"/>
  <c r="B59" i="3" s="1"/>
  <c r="A50" i="2"/>
  <c r="A59" i="3" s="1"/>
  <c r="F49" i="2"/>
  <c r="F58" i="3" s="1"/>
  <c r="E49" i="2"/>
  <c r="E58" i="3" s="1"/>
  <c r="D49" i="2"/>
  <c r="D58" i="3" s="1"/>
  <c r="C49" i="2"/>
  <c r="C58" i="3" s="1"/>
  <c r="B49" i="2"/>
  <c r="B58" i="3" s="1"/>
  <c r="A49" i="2"/>
  <c r="A58" i="3" s="1"/>
  <c r="F48" i="2"/>
  <c r="F57" i="3" s="1"/>
  <c r="E48" i="2"/>
  <c r="E57" i="3" s="1"/>
  <c r="D48" i="2"/>
  <c r="D57" i="3" s="1"/>
  <c r="C48" i="2"/>
  <c r="C57" i="3" s="1"/>
  <c r="B48" i="2"/>
  <c r="B57" i="3" s="1"/>
  <c r="A48" i="2"/>
  <c r="A57" i="3" s="1"/>
  <c r="F47" i="2"/>
  <c r="F56" i="3" s="1"/>
  <c r="E47" i="2"/>
  <c r="E56" i="3" s="1"/>
  <c r="D47" i="2"/>
  <c r="D56" i="3" s="1"/>
  <c r="C47" i="2"/>
  <c r="C56" i="3" s="1"/>
  <c r="B47" i="2"/>
  <c r="B56" i="3" s="1"/>
  <c r="A47" i="2"/>
  <c r="A56" i="3" s="1"/>
  <c r="F46" i="2"/>
  <c r="F55" i="3" s="1"/>
  <c r="E46" i="2"/>
  <c r="E55" i="3" s="1"/>
  <c r="D46" i="2"/>
  <c r="D55" i="3" s="1"/>
  <c r="C46" i="2"/>
  <c r="C55" i="3" s="1"/>
  <c r="B46" i="2"/>
  <c r="B55" i="3" s="1"/>
  <c r="A46" i="2"/>
  <c r="A55" i="3" s="1"/>
  <c r="F45" i="2"/>
  <c r="F54" i="3" s="1"/>
  <c r="E45" i="2"/>
  <c r="E54" i="3" s="1"/>
  <c r="D45" i="2"/>
  <c r="D54" i="3" s="1"/>
  <c r="C45" i="2"/>
  <c r="C54" i="3" s="1"/>
  <c r="B45" i="2"/>
  <c r="B54" i="3" s="1"/>
  <c r="A45" i="2"/>
  <c r="A54" i="3" s="1"/>
  <c r="F44" i="2"/>
  <c r="F53" i="3" s="1"/>
  <c r="E44" i="2"/>
  <c r="E53" i="3" s="1"/>
  <c r="D44" i="2"/>
  <c r="D53" i="3" s="1"/>
  <c r="C44" i="2"/>
  <c r="C53" i="3" s="1"/>
  <c r="B44" i="2"/>
  <c r="B53" i="3" s="1"/>
  <c r="A44" i="2"/>
  <c r="A53" i="3" s="1"/>
  <c r="F43" i="2"/>
  <c r="F52" i="3" s="1"/>
  <c r="E43" i="2"/>
  <c r="E52" i="3" s="1"/>
  <c r="D43" i="2"/>
  <c r="D52" i="3" s="1"/>
  <c r="C43" i="2"/>
  <c r="C52" i="3" s="1"/>
  <c r="B43" i="2"/>
  <c r="B52" i="3" s="1"/>
  <c r="A43" i="2"/>
  <c r="A52" i="3" s="1"/>
  <c r="F42" i="2"/>
  <c r="F51" i="3" s="1"/>
  <c r="E42" i="2"/>
  <c r="E51" i="3" s="1"/>
  <c r="D42" i="2"/>
  <c r="D51" i="3" s="1"/>
  <c r="C42" i="2"/>
  <c r="C51" i="3" s="1"/>
  <c r="B42" i="2"/>
  <c r="B51" i="3" s="1"/>
  <c r="A42" i="2"/>
  <c r="A51" i="3" s="1"/>
  <c r="F41" i="2"/>
  <c r="F50" i="3" s="1"/>
  <c r="E41" i="2"/>
  <c r="E50" i="3" s="1"/>
  <c r="D41" i="2"/>
  <c r="D50" i="3" s="1"/>
  <c r="C41" i="2"/>
  <c r="C50" i="3" s="1"/>
  <c r="B41" i="2"/>
  <c r="B50" i="3" s="1"/>
  <c r="A41" i="2"/>
  <c r="A50" i="3" s="1"/>
  <c r="F40" i="2"/>
  <c r="F49" i="3" s="1"/>
  <c r="E40" i="2"/>
  <c r="E49" i="3" s="1"/>
  <c r="D40" i="2"/>
  <c r="D49" i="3" s="1"/>
  <c r="C40" i="2"/>
  <c r="C49" i="3" s="1"/>
  <c r="B40" i="2"/>
  <c r="B49" i="3" s="1"/>
  <c r="A40" i="2"/>
  <c r="A49" i="3" s="1"/>
  <c r="G34" i="2"/>
  <c r="F34" i="2"/>
  <c r="E34" i="2"/>
  <c r="D34" i="2"/>
  <c r="C34" i="2"/>
  <c r="B34" i="2"/>
  <c r="G33" i="2"/>
  <c r="F33" i="2"/>
  <c r="E33" i="2"/>
  <c r="D33" i="2"/>
  <c r="C33" i="2"/>
  <c r="B33" i="2"/>
  <c r="G32" i="2"/>
  <c r="F32" i="2"/>
  <c r="E32" i="2"/>
  <c r="D32" i="2"/>
  <c r="C32" i="2"/>
  <c r="B32" i="2"/>
  <c r="G31" i="2"/>
  <c r="F31" i="2"/>
  <c r="E31" i="2"/>
  <c r="D31" i="2"/>
  <c r="C31" i="2"/>
  <c r="B31" i="2"/>
  <c r="G30" i="2"/>
  <c r="F30" i="2"/>
  <c r="E30" i="2"/>
  <c r="D30" i="2"/>
  <c r="C30" i="2"/>
  <c r="B30" i="2"/>
  <c r="G24" i="2"/>
  <c r="F24" i="2"/>
  <c r="E24" i="2"/>
  <c r="D24" i="2"/>
  <c r="C24" i="2"/>
  <c r="B24" i="2"/>
  <c r="G23" i="2"/>
  <c r="F23" i="2"/>
  <c r="E23" i="2"/>
  <c r="D23" i="2"/>
  <c r="C23" i="2"/>
  <c r="B23" i="2"/>
  <c r="G22" i="2"/>
  <c r="F22" i="2"/>
  <c r="E22" i="2"/>
  <c r="D22" i="2"/>
  <c r="C22" i="2"/>
  <c r="B22" i="2"/>
  <c r="G21" i="2"/>
  <c r="F21" i="2"/>
  <c r="E21" i="2"/>
  <c r="D21" i="2"/>
  <c r="C21" i="2"/>
  <c r="B21" i="2"/>
  <c r="G20" i="2"/>
  <c r="F20" i="2"/>
  <c r="E20" i="2"/>
  <c r="D20" i="2"/>
  <c r="C20" i="2"/>
  <c r="B20" i="2"/>
  <c r="G19" i="2"/>
  <c r="F19" i="2"/>
  <c r="E19" i="2"/>
  <c r="D19" i="2"/>
  <c r="C19" i="2"/>
  <c r="B19" i="2"/>
  <c r="G18" i="2"/>
  <c r="F18" i="2"/>
  <c r="E18" i="2"/>
  <c r="D18" i="2"/>
  <c r="C18" i="2"/>
  <c r="B18" i="2"/>
  <c r="G17" i="2"/>
  <c r="F17" i="2"/>
  <c r="E17" i="2"/>
  <c r="D17" i="2"/>
  <c r="C17" i="2"/>
  <c r="B17" i="2"/>
  <c r="B11" i="2"/>
  <c r="J5" i="3" s="1"/>
  <c r="B10" i="2"/>
  <c r="J9" i="3" s="1"/>
  <c r="B9" i="2"/>
  <c r="B8" i="2"/>
  <c r="G9" i="3" s="1"/>
  <c r="B7" i="2"/>
  <c r="D9" i="3" s="1"/>
  <c r="B6" i="2"/>
  <c r="A9" i="3" s="1"/>
  <c r="B5" i="2"/>
  <c r="G5" i="3" s="1"/>
  <c r="B4" i="2"/>
  <c r="D5" i="3" s="1"/>
  <c r="B3" i="2"/>
  <c r="A5" i="3" s="1"/>
  <c r="P501" i="1"/>
  <c r="O501" i="1"/>
  <c r="N501" i="1"/>
  <c r="M501" i="1"/>
  <c r="L501" i="1"/>
  <c r="P500" i="1"/>
  <c r="O500" i="1"/>
  <c r="N500" i="1"/>
  <c r="M500" i="1"/>
  <c r="L500" i="1"/>
  <c r="P499" i="1"/>
  <c r="O499" i="1"/>
  <c r="N499" i="1"/>
  <c r="M499" i="1"/>
  <c r="L499" i="1"/>
  <c r="P498" i="1"/>
  <c r="O498" i="1"/>
  <c r="N498" i="1"/>
  <c r="M498" i="1"/>
  <c r="L498" i="1"/>
  <c r="P497" i="1"/>
  <c r="O497" i="1"/>
  <c r="N497" i="1"/>
  <c r="M497" i="1"/>
  <c r="L497" i="1"/>
  <c r="P496" i="1"/>
  <c r="O496" i="1"/>
  <c r="N496" i="1"/>
  <c r="M496" i="1"/>
  <c r="L496" i="1"/>
  <c r="P495" i="1"/>
  <c r="O495" i="1"/>
  <c r="N495" i="1"/>
  <c r="M495" i="1"/>
  <c r="L495" i="1"/>
  <c r="P494" i="1"/>
  <c r="O494" i="1"/>
  <c r="N494" i="1"/>
  <c r="M494" i="1"/>
  <c r="L494" i="1"/>
  <c r="P493" i="1"/>
  <c r="O493" i="1"/>
  <c r="N493" i="1"/>
  <c r="M493" i="1"/>
  <c r="L493" i="1"/>
  <c r="P492" i="1"/>
  <c r="O492" i="1"/>
  <c r="N492" i="1"/>
  <c r="M492" i="1"/>
  <c r="L492" i="1"/>
  <c r="P491" i="1"/>
  <c r="O491" i="1"/>
  <c r="N491" i="1"/>
  <c r="M491" i="1"/>
  <c r="L491" i="1"/>
  <c r="P490" i="1"/>
  <c r="O490" i="1"/>
  <c r="N490" i="1"/>
  <c r="M490" i="1"/>
  <c r="L490" i="1"/>
  <c r="P489" i="1"/>
  <c r="O489" i="1"/>
  <c r="N489" i="1"/>
  <c r="M489" i="1"/>
  <c r="L489" i="1"/>
  <c r="P488" i="1"/>
  <c r="O488" i="1"/>
  <c r="N488" i="1"/>
  <c r="M488" i="1"/>
  <c r="L488" i="1"/>
  <c r="P487" i="1"/>
  <c r="O487" i="1"/>
  <c r="N487" i="1"/>
  <c r="M487" i="1"/>
  <c r="L487" i="1"/>
  <c r="P486" i="1"/>
  <c r="O486" i="1"/>
  <c r="N486" i="1"/>
  <c r="G41" i="2" s="1"/>
  <c r="G50" i="3" s="1"/>
  <c r="M486" i="1"/>
  <c r="L486" i="1"/>
  <c r="P485" i="1"/>
  <c r="O485" i="1"/>
  <c r="N485" i="1"/>
  <c r="M485" i="1"/>
  <c r="L485" i="1"/>
  <c r="P484" i="1"/>
  <c r="O484" i="1"/>
  <c r="N484" i="1"/>
  <c r="M484" i="1"/>
  <c r="L484" i="1"/>
  <c r="P483" i="1"/>
  <c r="O483" i="1"/>
  <c r="N483" i="1"/>
  <c r="M483" i="1"/>
  <c r="L483" i="1"/>
  <c r="P482" i="1"/>
  <c r="O482" i="1"/>
  <c r="N482" i="1"/>
  <c r="M482" i="1"/>
  <c r="L482" i="1"/>
  <c r="P481" i="1"/>
  <c r="O481" i="1"/>
  <c r="N481" i="1"/>
  <c r="M481" i="1"/>
  <c r="L481" i="1"/>
  <c r="P480" i="1"/>
  <c r="O480" i="1"/>
  <c r="N480" i="1"/>
  <c r="M480" i="1"/>
  <c r="L480" i="1"/>
  <c r="P479" i="1"/>
  <c r="O479" i="1"/>
  <c r="N479" i="1"/>
  <c r="M479" i="1"/>
  <c r="L479" i="1"/>
  <c r="P478" i="1"/>
  <c r="O478" i="1"/>
  <c r="N478" i="1"/>
  <c r="M478" i="1"/>
  <c r="L478" i="1"/>
  <c r="P477" i="1"/>
  <c r="O477" i="1"/>
  <c r="N477" i="1"/>
  <c r="M477" i="1"/>
  <c r="L477" i="1"/>
  <c r="P476" i="1"/>
  <c r="O476" i="1"/>
  <c r="N476" i="1"/>
  <c r="M476" i="1"/>
  <c r="L476" i="1"/>
  <c r="P475" i="1"/>
  <c r="O475" i="1"/>
  <c r="N475" i="1"/>
  <c r="M475" i="1"/>
  <c r="L475" i="1"/>
  <c r="P474" i="1"/>
  <c r="O474" i="1"/>
  <c r="N474" i="1"/>
  <c r="M474" i="1"/>
  <c r="L474" i="1"/>
  <c r="P473" i="1"/>
  <c r="O473" i="1"/>
  <c r="N473" i="1"/>
  <c r="M473" i="1"/>
  <c r="L473" i="1"/>
  <c r="P472" i="1"/>
  <c r="O472" i="1"/>
  <c r="N472" i="1"/>
  <c r="M472" i="1"/>
  <c r="L472" i="1"/>
  <c r="P471" i="1"/>
  <c r="O471" i="1"/>
  <c r="N471" i="1"/>
  <c r="M471" i="1"/>
  <c r="L471" i="1"/>
  <c r="P470" i="1"/>
  <c r="O470" i="1"/>
  <c r="N470" i="1"/>
  <c r="M470" i="1"/>
  <c r="L470" i="1"/>
  <c r="P469" i="1"/>
  <c r="O469" i="1"/>
  <c r="N469" i="1"/>
  <c r="M469" i="1"/>
  <c r="L469" i="1"/>
  <c r="P468" i="1"/>
  <c r="O468" i="1"/>
  <c r="N468" i="1"/>
  <c r="M468" i="1"/>
  <c r="L468" i="1"/>
  <c r="P467" i="1"/>
  <c r="O467" i="1"/>
  <c r="N467" i="1"/>
  <c r="M467" i="1"/>
  <c r="L467" i="1"/>
  <c r="P466" i="1"/>
  <c r="O466" i="1"/>
  <c r="N466" i="1"/>
  <c r="M466" i="1"/>
  <c r="L466" i="1"/>
  <c r="P465" i="1"/>
  <c r="O465" i="1"/>
  <c r="N465" i="1"/>
  <c r="M465" i="1"/>
  <c r="L465" i="1"/>
  <c r="P464" i="1"/>
  <c r="O464" i="1"/>
  <c r="N464" i="1"/>
  <c r="M464" i="1"/>
  <c r="L464" i="1"/>
  <c r="P463" i="1"/>
  <c r="O463" i="1"/>
  <c r="N463" i="1"/>
  <c r="M463" i="1"/>
  <c r="L463" i="1"/>
  <c r="P462" i="1"/>
  <c r="O462" i="1"/>
  <c r="N462" i="1"/>
  <c r="M462" i="1"/>
  <c r="L462" i="1"/>
  <c r="P461" i="1"/>
  <c r="O461" i="1"/>
  <c r="N461" i="1"/>
  <c r="M461" i="1"/>
  <c r="L461" i="1"/>
  <c r="P460" i="1"/>
  <c r="O460" i="1"/>
  <c r="N460" i="1"/>
  <c r="M460" i="1"/>
  <c r="L460" i="1"/>
  <c r="P459" i="1"/>
  <c r="O459" i="1"/>
  <c r="N459" i="1"/>
  <c r="M459" i="1"/>
  <c r="L459" i="1"/>
  <c r="P458" i="1"/>
  <c r="O458" i="1"/>
  <c r="N458" i="1"/>
  <c r="M458" i="1"/>
  <c r="L458" i="1"/>
  <c r="P457" i="1"/>
  <c r="O457" i="1"/>
  <c r="N457" i="1"/>
  <c r="M457" i="1"/>
  <c r="L457" i="1"/>
  <c r="P456" i="1"/>
  <c r="O456" i="1"/>
  <c r="N456" i="1"/>
  <c r="M456" i="1"/>
  <c r="L456" i="1"/>
  <c r="P455" i="1"/>
  <c r="O455" i="1"/>
  <c r="N455" i="1"/>
  <c r="M455" i="1"/>
  <c r="L455" i="1"/>
  <c r="P454" i="1"/>
  <c r="O454" i="1"/>
  <c r="N454" i="1"/>
  <c r="M454" i="1"/>
  <c r="L454" i="1"/>
  <c r="P453" i="1"/>
  <c r="O453" i="1"/>
  <c r="N453" i="1"/>
  <c r="M453" i="1"/>
  <c r="L453" i="1"/>
  <c r="P452" i="1"/>
  <c r="O452" i="1"/>
  <c r="N452" i="1"/>
  <c r="M452" i="1"/>
  <c r="L452" i="1"/>
  <c r="P451" i="1"/>
  <c r="O451" i="1"/>
  <c r="N451" i="1"/>
  <c r="M451" i="1"/>
  <c r="L451" i="1"/>
  <c r="P450" i="1"/>
  <c r="O450" i="1"/>
  <c r="N450" i="1"/>
  <c r="M450" i="1"/>
  <c r="L450" i="1"/>
  <c r="P449" i="1"/>
  <c r="O449" i="1"/>
  <c r="N449" i="1"/>
  <c r="M449" i="1"/>
  <c r="L449" i="1"/>
  <c r="P448" i="1"/>
  <c r="O448" i="1"/>
  <c r="N448" i="1"/>
  <c r="M448" i="1"/>
  <c r="L448" i="1"/>
  <c r="P447" i="1"/>
  <c r="O447" i="1"/>
  <c r="N447" i="1"/>
  <c r="M447" i="1"/>
  <c r="L447" i="1"/>
  <c r="P446" i="1"/>
  <c r="O446" i="1"/>
  <c r="N446" i="1"/>
  <c r="M446" i="1"/>
  <c r="L446" i="1"/>
  <c r="P445" i="1"/>
  <c r="O445" i="1"/>
  <c r="N445" i="1"/>
  <c r="M445" i="1"/>
  <c r="L445" i="1"/>
  <c r="P444" i="1"/>
  <c r="O444" i="1"/>
  <c r="N444" i="1"/>
  <c r="M444" i="1"/>
  <c r="L444" i="1"/>
  <c r="P443" i="1"/>
  <c r="O443" i="1"/>
  <c r="N443" i="1"/>
  <c r="M443" i="1"/>
  <c r="L443" i="1"/>
  <c r="P442" i="1"/>
  <c r="O442" i="1"/>
  <c r="N442" i="1"/>
  <c r="M442" i="1"/>
  <c r="L442" i="1"/>
  <c r="P441" i="1"/>
  <c r="O441" i="1"/>
  <c r="N441" i="1"/>
  <c r="M441" i="1"/>
  <c r="L441" i="1"/>
  <c r="P440" i="1"/>
  <c r="O440" i="1"/>
  <c r="N440" i="1"/>
  <c r="M440" i="1"/>
  <c r="L440" i="1"/>
  <c r="P439" i="1"/>
  <c r="O439" i="1"/>
  <c r="N439" i="1"/>
  <c r="M439" i="1"/>
  <c r="L439" i="1"/>
  <c r="P438" i="1"/>
  <c r="O438" i="1"/>
  <c r="N438" i="1"/>
  <c r="M438" i="1"/>
  <c r="L438" i="1"/>
  <c r="P437" i="1"/>
  <c r="O437" i="1"/>
  <c r="N437" i="1"/>
  <c r="M437" i="1"/>
  <c r="L437" i="1"/>
  <c r="P436" i="1"/>
  <c r="O436" i="1"/>
  <c r="N436" i="1"/>
  <c r="M436" i="1"/>
  <c r="L436" i="1"/>
  <c r="P435" i="1"/>
  <c r="O435" i="1"/>
  <c r="N435" i="1"/>
  <c r="M435" i="1"/>
  <c r="L435" i="1"/>
  <c r="P434" i="1"/>
  <c r="O434" i="1"/>
  <c r="N434" i="1"/>
  <c r="M434" i="1"/>
  <c r="L434" i="1"/>
  <c r="P433" i="1"/>
  <c r="O433" i="1"/>
  <c r="N433" i="1"/>
  <c r="M433" i="1"/>
  <c r="L433" i="1"/>
  <c r="P432" i="1"/>
  <c r="O432" i="1"/>
  <c r="N432" i="1"/>
  <c r="M432" i="1"/>
  <c r="L432" i="1"/>
  <c r="P431" i="1"/>
  <c r="O431" i="1"/>
  <c r="N431" i="1"/>
  <c r="M431" i="1"/>
  <c r="L431" i="1"/>
  <c r="P430" i="1"/>
  <c r="O430" i="1"/>
  <c r="N430" i="1"/>
  <c r="M430" i="1"/>
  <c r="L430" i="1"/>
  <c r="P429" i="1"/>
  <c r="O429" i="1"/>
  <c r="N429" i="1"/>
  <c r="M429" i="1"/>
  <c r="L429" i="1"/>
  <c r="P428" i="1"/>
  <c r="O428" i="1"/>
  <c r="N428" i="1"/>
  <c r="M428" i="1"/>
  <c r="L428" i="1"/>
  <c r="P427" i="1"/>
  <c r="O427" i="1"/>
  <c r="N427" i="1"/>
  <c r="M427" i="1"/>
  <c r="L427" i="1"/>
  <c r="P426" i="1"/>
  <c r="O426" i="1"/>
  <c r="N426" i="1"/>
  <c r="M426" i="1"/>
  <c r="L426" i="1"/>
  <c r="P425" i="1"/>
  <c r="O425" i="1"/>
  <c r="N425" i="1"/>
  <c r="M425" i="1"/>
  <c r="L425" i="1"/>
  <c r="P424" i="1"/>
  <c r="O424" i="1"/>
  <c r="N424" i="1"/>
  <c r="M424" i="1"/>
  <c r="L424" i="1"/>
  <c r="P423" i="1"/>
  <c r="O423" i="1"/>
  <c r="N423" i="1"/>
  <c r="M423" i="1"/>
  <c r="L423" i="1"/>
  <c r="P422" i="1"/>
  <c r="O422" i="1"/>
  <c r="N422" i="1"/>
  <c r="M422" i="1"/>
  <c r="L422" i="1"/>
  <c r="P421" i="1"/>
  <c r="O421" i="1"/>
  <c r="N421" i="1"/>
  <c r="M421" i="1"/>
  <c r="L421" i="1"/>
  <c r="P420" i="1"/>
  <c r="O420" i="1"/>
  <c r="N420" i="1"/>
  <c r="M420" i="1"/>
  <c r="L420" i="1"/>
  <c r="P419" i="1"/>
  <c r="O419" i="1"/>
  <c r="N419" i="1"/>
  <c r="M419" i="1"/>
  <c r="L419" i="1"/>
  <c r="P418" i="1"/>
  <c r="O418" i="1"/>
  <c r="N418" i="1"/>
  <c r="M418" i="1"/>
  <c r="L418" i="1"/>
  <c r="P417" i="1"/>
  <c r="O417" i="1"/>
  <c r="N417" i="1"/>
  <c r="M417" i="1"/>
  <c r="L417" i="1"/>
  <c r="P416" i="1"/>
  <c r="O416" i="1"/>
  <c r="N416" i="1"/>
  <c r="M416" i="1"/>
  <c r="L416" i="1"/>
  <c r="P415" i="1"/>
  <c r="O415" i="1"/>
  <c r="N415" i="1"/>
  <c r="M415" i="1"/>
  <c r="L415" i="1"/>
  <c r="P414" i="1"/>
  <c r="O414" i="1"/>
  <c r="N414" i="1"/>
  <c r="M414" i="1"/>
  <c r="L414" i="1"/>
  <c r="P413" i="1"/>
  <c r="O413" i="1"/>
  <c r="N413" i="1"/>
  <c r="M413" i="1"/>
  <c r="L413" i="1"/>
  <c r="P412" i="1"/>
  <c r="O412" i="1"/>
  <c r="N412" i="1"/>
  <c r="M412" i="1"/>
  <c r="L412" i="1"/>
  <c r="P411" i="1"/>
  <c r="O411" i="1"/>
  <c r="N411" i="1"/>
  <c r="M411" i="1"/>
  <c r="L411" i="1"/>
  <c r="P410" i="1"/>
  <c r="O410" i="1"/>
  <c r="N410" i="1"/>
  <c r="M410" i="1"/>
  <c r="L410" i="1"/>
  <c r="P409" i="1"/>
  <c r="O409" i="1"/>
  <c r="N409" i="1"/>
  <c r="M409" i="1"/>
  <c r="L409" i="1"/>
  <c r="P408" i="1"/>
  <c r="O408" i="1"/>
  <c r="N408" i="1"/>
  <c r="M408" i="1"/>
  <c r="L408" i="1"/>
  <c r="P407" i="1"/>
  <c r="O407" i="1"/>
  <c r="N407" i="1"/>
  <c r="M407" i="1"/>
  <c r="L407" i="1"/>
  <c r="P406" i="1"/>
  <c r="O406" i="1"/>
  <c r="N406" i="1"/>
  <c r="M406" i="1"/>
  <c r="L406" i="1"/>
  <c r="P405" i="1"/>
  <c r="O405" i="1"/>
  <c r="N405" i="1"/>
  <c r="M405" i="1"/>
  <c r="L405" i="1"/>
  <c r="P404" i="1"/>
  <c r="O404" i="1"/>
  <c r="N404" i="1"/>
  <c r="M404" i="1"/>
  <c r="L404" i="1"/>
  <c r="P403" i="1"/>
  <c r="O403" i="1"/>
  <c r="N403" i="1"/>
  <c r="M403" i="1"/>
  <c r="L403" i="1"/>
  <c r="P402" i="1"/>
  <c r="O402" i="1"/>
  <c r="N402" i="1"/>
  <c r="M402" i="1"/>
  <c r="L402" i="1"/>
  <c r="P401" i="1"/>
  <c r="O401" i="1"/>
  <c r="N401" i="1"/>
  <c r="M401" i="1"/>
  <c r="L401" i="1"/>
  <c r="P400" i="1"/>
  <c r="O400" i="1"/>
  <c r="N400" i="1"/>
  <c r="M400" i="1"/>
  <c r="L400" i="1"/>
  <c r="P399" i="1"/>
  <c r="O399" i="1"/>
  <c r="N399" i="1"/>
  <c r="M399" i="1"/>
  <c r="L399" i="1"/>
  <c r="P398" i="1"/>
  <c r="O398" i="1"/>
  <c r="N398" i="1"/>
  <c r="M398" i="1"/>
  <c r="L398" i="1"/>
  <c r="P397" i="1"/>
  <c r="O397" i="1"/>
  <c r="N397" i="1"/>
  <c r="M397" i="1"/>
  <c r="L397" i="1"/>
  <c r="P396" i="1"/>
  <c r="O396" i="1"/>
  <c r="N396" i="1"/>
  <c r="M396" i="1"/>
  <c r="L396" i="1"/>
  <c r="P395" i="1"/>
  <c r="O395" i="1"/>
  <c r="N395" i="1"/>
  <c r="M395" i="1"/>
  <c r="L395" i="1"/>
  <c r="P394" i="1"/>
  <c r="O394" i="1"/>
  <c r="N394" i="1"/>
  <c r="M394" i="1"/>
  <c r="L394" i="1"/>
  <c r="P393" i="1"/>
  <c r="O393" i="1"/>
  <c r="N393" i="1"/>
  <c r="M393" i="1"/>
  <c r="L393" i="1"/>
  <c r="P392" i="1"/>
  <c r="O392" i="1"/>
  <c r="N392" i="1"/>
  <c r="M392" i="1"/>
  <c r="L392" i="1"/>
  <c r="P391" i="1"/>
  <c r="O391" i="1"/>
  <c r="N391" i="1"/>
  <c r="M391" i="1"/>
  <c r="L391" i="1"/>
  <c r="P390" i="1"/>
  <c r="O390" i="1"/>
  <c r="N390" i="1"/>
  <c r="M390" i="1"/>
  <c r="L390" i="1"/>
  <c r="P389" i="1"/>
  <c r="O389" i="1"/>
  <c r="N389" i="1"/>
  <c r="M389" i="1"/>
  <c r="L389" i="1"/>
  <c r="P388" i="1"/>
  <c r="O388" i="1"/>
  <c r="N388" i="1"/>
  <c r="M388" i="1"/>
  <c r="L388" i="1"/>
  <c r="P387" i="1"/>
  <c r="O387" i="1"/>
  <c r="N387" i="1"/>
  <c r="M387" i="1"/>
  <c r="L387" i="1"/>
  <c r="P386" i="1"/>
  <c r="O386" i="1"/>
  <c r="N386" i="1"/>
  <c r="M386" i="1"/>
  <c r="L386" i="1"/>
  <c r="P385" i="1"/>
  <c r="O385" i="1"/>
  <c r="N385" i="1"/>
  <c r="M385" i="1"/>
  <c r="L385" i="1"/>
  <c r="P384" i="1"/>
  <c r="O384" i="1"/>
  <c r="N384" i="1"/>
  <c r="M384" i="1"/>
  <c r="L384" i="1"/>
  <c r="P383" i="1"/>
  <c r="O383" i="1"/>
  <c r="N383" i="1"/>
  <c r="M383" i="1"/>
  <c r="L383" i="1"/>
  <c r="P382" i="1"/>
  <c r="O382" i="1"/>
  <c r="N382" i="1"/>
  <c r="M382" i="1"/>
  <c r="L382" i="1"/>
  <c r="P381" i="1"/>
  <c r="O381" i="1"/>
  <c r="N381" i="1"/>
  <c r="G47" i="2" s="1"/>
  <c r="G56" i="3" s="1"/>
  <c r="M381" i="1"/>
  <c r="L381" i="1"/>
  <c r="P380" i="1"/>
  <c r="O380" i="1"/>
  <c r="N380" i="1"/>
  <c r="M380" i="1"/>
  <c r="L380" i="1"/>
  <c r="P379" i="1"/>
  <c r="O379" i="1"/>
  <c r="N379" i="1"/>
  <c r="M379" i="1"/>
  <c r="L379" i="1"/>
  <c r="P378" i="1"/>
  <c r="O378" i="1"/>
  <c r="N378" i="1"/>
  <c r="M378" i="1"/>
  <c r="L378" i="1"/>
  <c r="P377" i="1"/>
  <c r="O377" i="1"/>
  <c r="N377" i="1"/>
  <c r="M377" i="1"/>
  <c r="L377" i="1"/>
  <c r="P376" i="1"/>
  <c r="O376" i="1"/>
  <c r="N376" i="1"/>
  <c r="M376" i="1"/>
  <c r="L376" i="1"/>
  <c r="P375" i="1"/>
  <c r="O375" i="1"/>
  <c r="N375" i="1"/>
  <c r="M375" i="1"/>
  <c r="L375" i="1"/>
  <c r="P374" i="1"/>
  <c r="O374" i="1"/>
  <c r="N374" i="1"/>
  <c r="M374" i="1"/>
  <c r="L374" i="1"/>
  <c r="P373" i="1"/>
  <c r="O373" i="1"/>
  <c r="N373" i="1"/>
  <c r="M373" i="1"/>
  <c r="L373" i="1"/>
  <c r="P372" i="1"/>
  <c r="O372" i="1"/>
  <c r="N372" i="1"/>
  <c r="M372" i="1"/>
  <c r="L372" i="1"/>
  <c r="P371" i="1"/>
  <c r="O371" i="1"/>
  <c r="N371" i="1"/>
  <c r="M371" i="1"/>
  <c r="L371" i="1"/>
  <c r="P370" i="1"/>
  <c r="O370" i="1"/>
  <c r="N370" i="1"/>
  <c r="M370" i="1"/>
  <c r="L370" i="1"/>
  <c r="P369" i="1"/>
  <c r="O369" i="1"/>
  <c r="N369" i="1"/>
  <c r="M369" i="1"/>
  <c r="L369" i="1"/>
  <c r="P368" i="1"/>
  <c r="O368" i="1"/>
  <c r="N368" i="1"/>
  <c r="M368" i="1"/>
  <c r="L368" i="1"/>
  <c r="P367" i="1"/>
  <c r="O367" i="1"/>
  <c r="N367" i="1"/>
  <c r="G45" i="2" s="1"/>
  <c r="G54" i="3" s="1"/>
  <c r="M367" i="1"/>
  <c r="L367" i="1"/>
  <c r="P366" i="1"/>
  <c r="O366" i="1"/>
  <c r="N366" i="1"/>
  <c r="M366" i="1"/>
  <c r="L366" i="1"/>
  <c r="P365" i="1"/>
  <c r="O365" i="1"/>
  <c r="N365" i="1"/>
  <c r="M365" i="1"/>
  <c r="L365" i="1"/>
  <c r="P364" i="1"/>
  <c r="O364" i="1"/>
  <c r="N364" i="1"/>
  <c r="M364" i="1"/>
  <c r="L364" i="1"/>
  <c r="P363" i="1"/>
  <c r="O363" i="1"/>
  <c r="N363" i="1"/>
  <c r="M363" i="1"/>
  <c r="L363" i="1"/>
  <c r="P362" i="1"/>
  <c r="O362" i="1"/>
  <c r="N362" i="1"/>
  <c r="M362" i="1"/>
  <c r="L362" i="1"/>
  <c r="P361" i="1"/>
  <c r="O361" i="1"/>
  <c r="N361" i="1"/>
  <c r="M361" i="1"/>
  <c r="L361" i="1"/>
  <c r="P360" i="1"/>
  <c r="O360" i="1"/>
  <c r="N360" i="1"/>
  <c r="M360" i="1"/>
  <c r="L360" i="1"/>
  <c r="P359" i="1"/>
  <c r="O359" i="1"/>
  <c r="N359" i="1"/>
  <c r="M359" i="1"/>
  <c r="L359" i="1"/>
  <c r="P358" i="1"/>
  <c r="O358" i="1"/>
  <c r="N358" i="1"/>
  <c r="M358" i="1"/>
  <c r="L358" i="1"/>
  <c r="P357" i="1"/>
  <c r="O357" i="1"/>
  <c r="N357" i="1"/>
  <c r="M357" i="1"/>
  <c r="L357" i="1"/>
  <c r="P356" i="1"/>
  <c r="O356" i="1"/>
  <c r="N356" i="1"/>
  <c r="M356" i="1"/>
  <c r="L356" i="1"/>
  <c r="P355" i="1"/>
  <c r="O355" i="1"/>
  <c r="N355" i="1"/>
  <c r="M355" i="1"/>
  <c r="L355" i="1"/>
  <c r="P354" i="1"/>
  <c r="O354" i="1"/>
  <c r="N354" i="1"/>
  <c r="M354" i="1"/>
  <c r="L354" i="1"/>
  <c r="P353" i="1"/>
  <c r="O353" i="1"/>
  <c r="N353" i="1"/>
  <c r="M353" i="1"/>
  <c r="L353" i="1"/>
  <c r="P352" i="1"/>
  <c r="O352" i="1"/>
  <c r="N352" i="1"/>
  <c r="M352" i="1"/>
  <c r="L352" i="1"/>
  <c r="P351" i="1"/>
  <c r="O351" i="1"/>
  <c r="N351" i="1"/>
  <c r="M351" i="1"/>
  <c r="L351" i="1"/>
  <c r="P350" i="1"/>
  <c r="O350" i="1"/>
  <c r="N350" i="1"/>
  <c r="M350" i="1"/>
  <c r="L350" i="1"/>
  <c r="P349" i="1"/>
  <c r="O349" i="1"/>
  <c r="N349" i="1"/>
  <c r="M349" i="1"/>
  <c r="L349" i="1"/>
  <c r="P348" i="1"/>
  <c r="O348" i="1"/>
  <c r="N348" i="1"/>
  <c r="M348" i="1"/>
  <c r="L348" i="1"/>
  <c r="P347" i="1"/>
  <c r="O347" i="1"/>
  <c r="N347" i="1"/>
  <c r="M347" i="1"/>
  <c r="L347" i="1"/>
  <c r="P346" i="1"/>
  <c r="O346" i="1"/>
  <c r="N346" i="1"/>
  <c r="M346" i="1"/>
  <c r="L346" i="1"/>
  <c r="P345" i="1"/>
  <c r="O345" i="1"/>
  <c r="N345" i="1"/>
  <c r="M345" i="1"/>
  <c r="L345" i="1"/>
  <c r="P344" i="1"/>
  <c r="O344" i="1"/>
  <c r="N344" i="1"/>
  <c r="M344" i="1"/>
  <c r="L344" i="1"/>
  <c r="P343" i="1"/>
  <c r="O343" i="1"/>
  <c r="N343" i="1"/>
  <c r="M343" i="1"/>
  <c r="L343" i="1"/>
  <c r="P342" i="1"/>
  <c r="O342" i="1"/>
  <c r="N342" i="1"/>
  <c r="M342" i="1"/>
  <c r="L342" i="1"/>
  <c r="P341" i="1"/>
  <c r="O341" i="1"/>
  <c r="N341" i="1"/>
  <c r="M341" i="1"/>
  <c r="L341" i="1"/>
  <c r="P340" i="1"/>
  <c r="O340" i="1"/>
  <c r="N340" i="1"/>
  <c r="M340" i="1"/>
  <c r="L340" i="1"/>
  <c r="P339" i="1"/>
  <c r="O339" i="1"/>
  <c r="N339" i="1"/>
  <c r="M339" i="1"/>
  <c r="L339" i="1"/>
  <c r="P338" i="1"/>
  <c r="O338" i="1"/>
  <c r="N338" i="1"/>
  <c r="M338" i="1"/>
  <c r="L338" i="1"/>
  <c r="P337" i="1"/>
  <c r="O337" i="1"/>
  <c r="N337" i="1"/>
  <c r="M337" i="1"/>
  <c r="L337" i="1"/>
  <c r="P336" i="1"/>
  <c r="O336" i="1"/>
  <c r="N336" i="1"/>
  <c r="M336" i="1"/>
  <c r="L336" i="1"/>
  <c r="P335" i="1"/>
  <c r="O335" i="1"/>
  <c r="N335" i="1"/>
  <c r="M335" i="1"/>
  <c r="L335" i="1"/>
  <c r="P334" i="1"/>
  <c r="O334" i="1"/>
  <c r="N334" i="1"/>
  <c r="M334" i="1"/>
  <c r="L334" i="1"/>
  <c r="P333" i="1"/>
  <c r="O333" i="1"/>
  <c r="N333" i="1"/>
  <c r="M333" i="1"/>
  <c r="L333" i="1"/>
  <c r="P332" i="1"/>
  <c r="O332" i="1"/>
  <c r="N332" i="1"/>
  <c r="M332" i="1"/>
  <c r="L332" i="1"/>
  <c r="P331" i="1"/>
  <c r="O331" i="1"/>
  <c r="N331" i="1"/>
  <c r="M331" i="1"/>
  <c r="L331" i="1"/>
  <c r="P330" i="1"/>
  <c r="O330" i="1"/>
  <c r="N330" i="1"/>
  <c r="M330" i="1"/>
  <c r="L330" i="1"/>
  <c r="P329" i="1"/>
  <c r="O329" i="1"/>
  <c r="N329" i="1"/>
  <c r="M329" i="1"/>
  <c r="L329" i="1"/>
  <c r="P328" i="1"/>
  <c r="O328" i="1"/>
  <c r="N328" i="1"/>
  <c r="M328" i="1"/>
  <c r="L328" i="1"/>
  <c r="P327" i="1"/>
  <c r="O327" i="1"/>
  <c r="N327" i="1"/>
  <c r="M327" i="1"/>
  <c r="L327" i="1"/>
  <c r="P326" i="1"/>
  <c r="O326" i="1"/>
  <c r="N326" i="1"/>
  <c r="M326" i="1"/>
  <c r="L326" i="1"/>
  <c r="P325" i="1"/>
  <c r="O325" i="1"/>
  <c r="N325" i="1"/>
  <c r="M325" i="1"/>
  <c r="L325" i="1"/>
  <c r="P324" i="1"/>
  <c r="O324" i="1"/>
  <c r="N324" i="1"/>
  <c r="M324" i="1"/>
  <c r="L324" i="1"/>
  <c r="P323" i="1"/>
  <c r="O323" i="1"/>
  <c r="N323" i="1"/>
  <c r="M323" i="1"/>
  <c r="L323" i="1"/>
  <c r="P322" i="1"/>
  <c r="O322" i="1"/>
  <c r="N322" i="1"/>
  <c r="M322" i="1"/>
  <c r="L322" i="1"/>
  <c r="P321" i="1"/>
  <c r="O321" i="1"/>
  <c r="N321" i="1"/>
  <c r="M321" i="1"/>
  <c r="L321" i="1"/>
  <c r="P320" i="1"/>
  <c r="O320" i="1"/>
  <c r="N320" i="1"/>
  <c r="M320" i="1"/>
  <c r="L320" i="1"/>
  <c r="P319" i="1"/>
  <c r="O319" i="1"/>
  <c r="N319" i="1"/>
  <c r="M319" i="1"/>
  <c r="L319" i="1"/>
  <c r="P318" i="1"/>
  <c r="O318" i="1"/>
  <c r="N318" i="1"/>
  <c r="M318" i="1"/>
  <c r="L318" i="1"/>
  <c r="P317" i="1"/>
  <c r="O317" i="1"/>
  <c r="N317" i="1"/>
  <c r="M317" i="1"/>
  <c r="L317" i="1"/>
  <c r="P316" i="1"/>
  <c r="O316" i="1"/>
  <c r="N316" i="1"/>
  <c r="M316" i="1"/>
  <c r="L316" i="1"/>
  <c r="P315" i="1"/>
  <c r="O315" i="1"/>
  <c r="N315" i="1"/>
  <c r="M315" i="1"/>
  <c r="L315" i="1"/>
  <c r="P314" i="1"/>
  <c r="O314" i="1"/>
  <c r="N314" i="1"/>
  <c r="M314" i="1"/>
  <c r="L314" i="1"/>
  <c r="P313" i="1"/>
  <c r="O313" i="1"/>
  <c r="N313" i="1"/>
  <c r="M313" i="1"/>
  <c r="L313" i="1"/>
  <c r="P312" i="1"/>
  <c r="O312" i="1"/>
  <c r="N312" i="1"/>
  <c r="M312" i="1"/>
  <c r="L312" i="1"/>
  <c r="P311" i="1"/>
  <c r="O311" i="1"/>
  <c r="N311" i="1"/>
  <c r="M311" i="1"/>
  <c r="L311" i="1"/>
  <c r="P310" i="1"/>
  <c r="O310" i="1"/>
  <c r="N310" i="1"/>
  <c r="M310" i="1"/>
  <c r="L310" i="1"/>
  <c r="P309" i="1"/>
  <c r="O309" i="1"/>
  <c r="N309" i="1"/>
  <c r="M309" i="1"/>
  <c r="L309" i="1"/>
  <c r="P308" i="1"/>
  <c r="O308" i="1"/>
  <c r="N308" i="1"/>
  <c r="M308" i="1"/>
  <c r="L308" i="1"/>
  <c r="P307" i="1"/>
  <c r="O307" i="1"/>
  <c r="N307" i="1"/>
  <c r="M307" i="1"/>
  <c r="L307" i="1"/>
  <c r="P306" i="1"/>
  <c r="O306" i="1"/>
  <c r="N306" i="1"/>
  <c r="M306" i="1"/>
  <c r="L306" i="1"/>
  <c r="P305" i="1"/>
  <c r="O305" i="1"/>
  <c r="N305" i="1"/>
  <c r="M305" i="1"/>
  <c r="L305" i="1"/>
  <c r="P304" i="1"/>
  <c r="O304" i="1"/>
  <c r="N304" i="1"/>
  <c r="M304" i="1"/>
  <c r="L304" i="1"/>
  <c r="P303" i="1"/>
  <c r="O303" i="1"/>
  <c r="N303" i="1"/>
  <c r="M303" i="1"/>
  <c r="L303" i="1"/>
  <c r="P302" i="1"/>
  <c r="O302" i="1"/>
  <c r="N302" i="1"/>
  <c r="M302" i="1"/>
  <c r="L302" i="1"/>
  <c r="P301" i="1"/>
  <c r="O301" i="1"/>
  <c r="N301" i="1"/>
  <c r="M301" i="1"/>
  <c r="L301" i="1"/>
  <c r="P300" i="1"/>
  <c r="O300" i="1"/>
  <c r="N300" i="1"/>
  <c r="M300" i="1"/>
  <c r="L300" i="1"/>
  <c r="P299" i="1"/>
  <c r="O299" i="1"/>
  <c r="N299" i="1"/>
  <c r="M299" i="1"/>
  <c r="L299" i="1"/>
  <c r="P298" i="1"/>
  <c r="O298" i="1"/>
  <c r="N298" i="1"/>
  <c r="M298" i="1"/>
  <c r="L298" i="1"/>
  <c r="P297" i="1"/>
  <c r="O297" i="1"/>
  <c r="N297" i="1"/>
  <c r="M297" i="1"/>
  <c r="L297" i="1"/>
  <c r="P296" i="1"/>
  <c r="O296" i="1"/>
  <c r="N296" i="1"/>
  <c r="M296" i="1"/>
  <c r="L296" i="1"/>
  <c r="P295" i="1"/>
  <c r="O295" i="1"/>
  <c r="N295" i="1"/>
  <c r="M295" i="1"/>
  <c r="L295" i="1"/>
  <c r="P294" i="1"/>
  <c r="O294" i="1"/>
  <c r="N294" i="1"/>
  <c r="M294" i="1"/>
  <c r="L294" i="1"/>
  <c r="P293" i="1"/>
  <c r="O293" i="1"/>
  <c r="N293" i="1"/>
  <c r="M293" i="1"/>
  <c r="L293" i="1"/>
  <c r="P292" i="1"/>
  <c r="O292" i="1"/>
  <c r="N292" i="1"/>
  <c r="M292" i="1"/>
  <c r="L292" i="1"/>
  <c r="P291" i="1"/>
  <c r="O291" i="1"/>
  <c r="N291" i="1"/>
  <c r="M291" i="1"/>
  <c r="L291" i="1"/>
  <c r="P290" i="1"/>
  <c r="O290" i="1"/>
  <c r="N290" i="1"/>
  <c r="M290" i="1"/>
  <c r="L290" i="1"/>
  <c r="P289" i="1"/>
  <c r="O289" i="1"/>
  <c r="N289" i="1"/>
  <c r="M289" i="1"/>
  <c r="L289" i="1"/>
  <c r="P288" i="1"/>
  <c r="O288" i="1"/>
  <c r="N288" i="1"/>
  <c r="M288" i="1"/>
  <c r="L288" i="1"/>
  <c r="P287" i="1"/>
  <c r="O287" i="1"/>
  <c r="N287" i="1"/>
  <c r="M287" i="1"/>
  <c r="L287" i="1"/>
  <c r="P286" i="1"/>
  <c r="O286" i="1"/>
  <c r="N286" i="1"/>
  <c r="M286" i="1"/>
  <c r="L286" i="1"/>
  <c r="P285" i="1"/>
  <c r="O285" i="1"/>
  <c r="N285" i="1"/>
  <c r="M285" i="1"/>
  <c r="L285" i="1"/>
  <c r="P284" i="1"/>
  <c r="O284" i="1"/>
  <c r="N284" i="1"/>
  <c r="M284" i="1"/>
  <c r="L284" i="1"/>
  <c r="P283" i="1"/>
  <c r="O283" i="1"/>
  <c r="N283" i="1"/>
  <c r="M283" i="1"/>
  <c r="L283" i="1"/>
  <c r="P282" i="1"/>
  <c r="O282" i="1"/>
  <c r="N282" i="1"/>
  <c r="M282" i="1"/>
  <c r="L282" i="1"/>
  <c r="P281" i="1"/>
  <c r="O281" i="1"/>
  <c r="N281" i="1"/>
  <c r="M281" i="1"/>
  <c r="L281" i="1"/>
  <c r="P280" i="1"/>
  <c r="O280" i="1"/>
  <c r="N280" i="1"/>
  <c r="M280" i="1"/>
  <c r="L280" i="1"/>
  <c r="P279" i="1"/>
  <c r="O279" i="1"/>
  <c r="N279" i="1"/>
  <c r="M279" i="1"/>
  <c r="L279" i="1"/>
  <c r="P278" i="1"/>
  <c r="O278" i="1"/>
  <c r="N278" i="1"/>
  <c r="M278" i="1"/>
  <c r="L278" i="1"/>
  <c r="P277" i="1"/>
  <c r="O277" i="1"/>
  <c r="N277" i="1"/>
  <c r="M277" i="1"/>
  <c r="L277" i="1"/>
  <c r="P276" i="1"/>
  <c r="O276" i="1"/>
  <c r="N276" i="1"/>
  <c r="M276" i="1"/>
  <c r="L276" i="1"/>
  <c r="P275" i="1"/>
  <c r="O275" i="1"/>
  <c r="N275" i="1"/>
  <c r="M275" i="1"/>
  <c r="L275" i="1"/>
  <c r="P274" i="1"/>
  <c r="O274" i="1"/>
  <c r="N274" i="1"/>
  <c r="M274" i="1"/>
  <c r="L274" i="1"/>
  <c r="P273" i="1"/>
  <c r="O273" i="1"/>
  <c r="N273" i="1"/>
  <c r="M273" i="1"/>
  <c r="L273" i="1"/>
  <c r="P272" i="1"/>
  <c r="O272" i="1"/>
  <c r="N272" i="1"/>
  <c r="M272" i="1"/>
  <c r="L272" i="1"/>
  <c r="P271" i="1"/>
  <c r="O271" i="1"/>
  <c r="N271" i="1"/>
  <c r="M271" i="1"/>
  <c r="L271" i="1"/>
  <c r="P270" i="1"/>
  <c r="O270" i="1"/>
  <c r="N270" i="1"/>
  <c r="M270" i="1"/>
  <c r="L270" i="1"/>
  <c r="P269" i="1"/>
  <c r="O269" i="1"/>
  <c r="N269" i="1"/>
  <c r="M269" i="1"/>
  <c r="L269" i="1"/>
  <c r="P268" i="1"/>
  <c r="O268" i="1"/>
  <c r="N268" i="1"/>
  <c r="M268" i="1"/>
  <c r="L268" i="1"/>
  <c r="P267" i="1"/>
  <c r="O267" i="1"/>
  <c r="N267" i="1"/>
  <c r="M267" i="1"/>
  <c r="L267" i="1"/>
  <c r="P266" i="1"/>
  <c r="O266" i="1"/>
  <c r="N266" i="1"/>
  <c r="M266" i="1"/>
  <c r="L266" i="1"/>
  <c r="P265" i="1"/>
  <c r="O265" i="1"/>
  <c r="N265" i="1"/>
  <c r="M265" i="1"/>
  <c r="L265" i="1"/>
  <c r="P264" i="1"/>
  <c r="O264" i="1"/>
  <c r="N264" i="1"/>
  <c r="G53" i="2" s="1"/>
  <c r="G62" i="3" s="1"/>
  <c r="M264" i="1"/>
  <c r="L264" i="1"/>
  <c r="P263" i="1"/>
  <c r="O263" i="1"/>
  <c r="N263" i="1"/>
  <c r="M263" i="1"/>
  <c r="L263" i="1"/>
  <c r="P262" i="1"/>
  <c r="O262" i="1"/>
  <c r="N262" i="1"/>
  <c r="M262" i="1"/>
  <c r="L262" i="1"/>
  <c r="P261" i="1"/>
  <c r="O261" i="1"/>
  <c r="N261" i="1"/>
  <c r="M261" i="1"/>
  <c r="L261" i="1"/>
  <c r="P260" i="1"/>
  <c r="O260" i="1"/>
  <c r="N260" i="1"/>
  <c r="M260" i="1"/>
  <c r="L260" i="1"/>
  <c r="P259" i="1"/>
  <c r="O259" i="1"/>
  <c r="N259" i="1"/>
  <c r="G51" i="2" s="1"/>
  <c r="G60" i="3" s="1"/>
  <c r="M259" i="1"/>
  <c r="L259" i="1"/>
  <c r="P258" i="1"/>
  <c r="O258" i="1"/>
  <c r="N258" i="1"/>
  <c r="M258" i="1"/>
  <c r="L258" i="1"/>
  <c r="P257" i="1"/>
  <c r="O257" i="1"/>
  <c r="N257" i="1"/>
  <c r="M257" i="1"/>
  <c r="L257" i="1"/>
  <c r="P256" i="1"/>
  <c r="O256" i="1"/>
  <c r="N256" i="1"/>
  <c r="G50" i="2" s="1"/>
  <c r="G59" i="3" s="1"/>
  <c r="M256" i="1"/>
  <c r="L256" i="1"/>
  <c r="P255" i="1"/>
  <c r="O255" i="1"/>
  <c r="N255" i="1"/>
  <c r="M255" i="1"/>
  <c r="L255" i="1"/>
  <c r="P254" i="1"/>
  <c r="O254" i="1"/>
  <c r="N254" i="1"/>
  <c r="M254" i="1"/>
  <c r="L254" i="1"/>
  <c r="P253" i="1"/>
  <c r="O253" i="1"/>
  <c r="N253" i="1"/>
  <c r="M253" i="1"/>
  <c r="L253" i="1"/>
  <c r="P252" i="1"/>
  <c r="O252" i="1"/>
  <c r="N252" i="1"/>
  <c r="M252" i="1"/>
  <c r="L252" i="1"/>
  <c r="P251" i="1"/>
  <c r="O251" i="1"/>
  <c r="N251" i="1"/>
  <c r="M251" i="1"/>
  <c r="L251" i="1"/>
  <c r="P250" i="1"/>
  <c r="O250" i="1"/>
  <c r="N250" i="1"/>
  <c r="M250" i="1"/>
  <c r="L250" i="1"/>
  <c r="P249" i="1"/>
  <c r="O249" i="1"/>
  <c r="N249" i="1"/>
  <c r="G49" i="2" s="1"/>
  <c r="G58" i="3" s="1"/>
  <c r="M249" i="1"/>
  <c r="L249" i="1"/>
  <c r="P248" i="1"/>
  <c r="O248" i="1"/>
  <c r="N248" i="1"/>
  <c r="M248" i="1"/>
  <c r="L248" i="1"/>
  <c r="P247" i="1"/>
  <c r="O247" i="1"/>
  <c r="N247" i="1"/>
  <c r="M247" i="1"/>
  <c r="L247" i="1"/>
  <c r="P246" i="1"/>
  <c r="O246" i="1"/>
  <c r="N246" i="1"/>
  <c r="M246" i="1"/>
  <c r="L246" i="1"/>
  <c r="P245" i="1"/>
  <c r="O245" i="1"/>
  <c r="N245" i="1"/>
  <c r="M245" i="1"/>
  <c r="L245" i="1"/>
  <c r="P244" i="1"/>
  <c r="O244" i="1"/>
  <c r="N244" i="1"/>
  <c r="G43" i="2" s="1"/>
  <c r="G52" i="3" s="1"/>
  <c r="M244" i="1"/>
  <c r="L244" i="1"/>
  <c r="P243" i="1"/>
  <c r="O243" i="1"/>
  <c r="N243" i="1"/>
  <c r="M243" i="1"/>
  <c r="L243" i="1"/>
  <c r="P242" i="1"/>
  <c r="O242" i="1"/>
  <c r="N242" i="1"/>
  <c r="M242" i="1"/>
  <c r="L242" i="1"/>
  <c r="P241" i="1"/>
  <c r="O241" i="1"/>
  <c r="N241" i="1"/>
  <c r="M241" i="1"/>
  <c r="L241" i="1"/>
  <c r="P240" i="1"/>
  <c r="O240" i="1"/>
  <c r="N240" i="1"/>
  <c r="M240" i="1"/>
  <c r="L240" i="1"/>
  <c r="P239" i="1"/>
  <c r="O239" i="1"/>
  <c r="N239" i="1"/>
  <c r="M239" i="1"/>
  <c r="L239" i="1"/>
  <c r="P238" i="1"/>
  <c r="O238" i="1"/>
  <c r="N238" i="1"/>
  <c r="M238" i="1"/>
  <c r="L238" i="1"/>
  <c r="P237" i="1"/>
  <c r="O237" i="1"/>
  <c r="N237" i="1"/>
  <c r="M237" i="1"/>
  <c r="L237" i="1"/>
  <c r="P236" i="1"/>
  <c r="O236" i="1"/>
  <c r="N236" i="1"/>
  <c r="M236" i="1"/>
  <c r="L236" i="1"/>
  <c r="P235" i="1"/>
  <c r="O235" i="1"/>
  <c r="N235" i="1"/>
  <c r="M235" i="1"/>
  <c r="L235" i="1"/>
  <c r="P234" i="1"/>
  <c r="O234" i="1"/>
  <c r="N234" i="1"/>
  <c r="M234" i="1"/>
  <c r="L234" i="1"/>
  <c r="P233" i="1"/>
  <c r="O233" i="1"/>
  <c r="N233" i="1"/>
  <c r="M233" i="1"/>
  <c r="L233" i="1"/>
  <c r="P232" i="1"/>
  <c r="O232" i="1"/>
  <c r="N232" i="1"/>
  <c r="M232" i="1"/>
  <c r="L232" i="1"/>
  <c r="P231" i="1"/>
  <c r="O231" i="1"/>
  <c r="N231" i="1"/>
  <c r="M231" i="1"/>
  <c r="L231" i="1"/>
  <c r="P230" i="1"/>
  <c r="O230" i="1"/>
  <c r="N230" i="1"/>
  <c r="M230" i="1"/>
  <c r="L230" i="1"/>
  <c r="P229" i="1"/>
  <c r="O229" i="1"/>
  <c r="N229" i="1"/>
  <c r="M229" i="1"/>
  <c r="L229" i="1"/>
  <c r="P228" i="1"/>
  <c r="O228" i="1"/>
  <c r="N228" i="1"/>
  <c r="M228" i="1"/>
  <c r="L228" i="1"/>
  <c r="P227" i="1"/>
  <c r="O227" i="1"/>
  <c r="N227" i="1"/>
  <c r="M227" i="1"/>
  <c r="L227" i="1"/>
  <c r="P226" i="1"/>
  <c r="O226" i="1"/>
  <c r="N226" i="1"/>
  <c r="M226" i="1"/>
  <c r="L226" i="1"/>
  <c r="P225" i="1"/>
  <c r="O225" i="1"/>
  <c r="N225" i="1"/>
  <c r="M225" i="1"/>
  <c r="L225" i="1"/>
  <c r="P224" i="1"/>
  <c r="O224" i="1"/>
  <c r="N224" i="1"/>
  <c r="M224" i="1"/>
  <c r="L224" i="1"/>
  <c r="P223" i="1"/>
  <c r="O223" i="1"/>
  <c r="N223" i="1"/>
  <c r="M223" i="1"/>
  <c r="L223" i="1"/>
  <c r="P222" i="1"/>
  <c r="O222" i="1"/>
  <c r="N222" i="1"/>
  <c r="M222" i="1"/>
  <c r="L222" i="1"/>
  <c r="P221" i="1"/>
  <c r="O221" i="1"/>
  <c r="N221" i="1"/>
  <c r="M221" i="1"/>
  <c r="L221" i="1"/>
  <c r="P220" i="1"/>
  <c r="O220" i="1"/>
  <c r="N220" i="1"/>
  <c r="M220" i="1"/>
  <c r="L220" i="1"/>
  <c r="P219" i="1"/>
  <c r="O219" i="1"/>
  <c r="N219" i="1"/>
  <c r="G54" i="2" s="1"/>
  <c r="G63" i="3" s="1"/>
  <c r="M219" i="1"/>
  <c r="L219" i="1"/>
  <c r="P218" i="1"/>
  <c r="O218" i="1"/>
  <c r="N218" i="1"/>
  <c r="G48" i="2" s="1"/>
  <c r="G57" i="3" s="1"/>
  <c r="M218" i="1"/>
  <c r="L218" i="1"/>
  <c r="P217" i="1"/>
  <c r="O217" i="1"/>
  <c r="N217" i="1"/>
  <c r="M217" i="1"/>
  <c r="L217" i="1"/>
  <c r="P216" i="1"/>
  <c r="O216" i="1"/>
  <c r="N216" i="1"/>
  <c r="M216" i="1"/>
  <c r="L216" i="1"/>
  <c r="P215" i="1"/>
  <c r="O215" i="1"/>
  <c r="N215" i="1"/>
  <c r="M215" i="1"/>
  <c r="L215" i="1"/>
  <c r="P214" i="1"/>
  <c r="O214" i="1"/>
  <c r="N214" i="1"/>
  <c r="M214" i="1"/>
  <c r="L214" i="1"/>
  <c r="P213" i="1"/>
  <c r="O213" i="1"/>
  <c r="N213" i="1"/>
  <c r="M213" i="1"/>
  <c r="L213" i="1"/>
  <c r="P212" i="1"/>
  <c r="O212" i="1"/>
  <c r="N212" i="1"/>
  <c r="M212" i="1"/>
  <c r="L212" i="1"/>
  <c r="P211" i="1"/>
  <c r="O211" i="1"/>
  <c r="N211" i="1"/>
  <c r="M211" i="1"/>
  <c r="L211" i="1"/>
  <c r="P210" i="1"/>
  <c r="O210" i="1"/>
  <c r="N210" i="1"/>
  <c r="M210" i="1"/>
  <c r="L210" i="1"/>
  <c r="P209" i="1"/>
  <c r="O209" i="1"/>
  <c r="N209" i="1"/>
  <c r="M209" i="1"/>
  <c r="L209" i="1"/>
  <c r="P208" i="1"/>
  <c r="O208" i="1"/>
  <c r="N208" i="1"/>
  <c r="M208" i="1"/>
  <c r="L208" i="1"/>
  <c r="P207" i="1"/>
  <c r="O207" i="1"/>
  <c r="N207" i="1"/>
  <c r="M207" i="1"/>
  <c r="L207" i="1"/>
  <c r="P206" i="1"/>
  <c r="O206" i="1"/>
  <c r="N206" i="1"/>
  <c r="M206" i="1"/>
  <c r="L206" i="1"/>
  <c r="P205" i="1"/>
  <c r="O205" i="1"/>
  <c r="N205" i="1"/>
  <c r="M205" i="1"/>
  <c r="L205" i="1"/>
  <c r="P204" i="1"/>
  <c r="O204" i="1"/>
  <c r="N204" i="1"/>
  <c r="M204" i="1"/>
  <c r="L204" i="1"/>
  <c r="P203" i="1"/>
  <c r="O203" i="1"/>
  <c r="N203" i="1"/>
  <c r="M203" i="1"/>
  <c r="L203" i="1"/>
  <c r="P202" i="1"/>
  <c r="O202" i="1"/>
  <c r="N202" i="1"/>
  <c r="M202" i="1"/>
  <c r="L202" i="1"/>
  <c r="P201" i="1"/>
  <c r="O201" i="1"/>
  <c r="N201" i="1"/>
  <c r="M201" i="1"/>
  <c r="L201" i="1"/>
  <c r="P200" i="1"/>
  <c r="O200" i="1"/>
  <c r="N200" i="1"/>
  <c r="M200" i="1"/>
  <c r="L200" i="1"/>
  <c r="P199" i="1"/>
  <c r="O199" i="1"/>
  <c r="N199" i="1"/>
  <c r="M199" i="1"/>
  <c r="L199" i="1"/>
  <c r="P198" i="1"/>
  <c r="O198" i="1"/>
  <c r="N198" i="1"/>
  <c r="M198" i="1"/>
  <c r="L198" i="1"/>
  <c r="P197" i="1"/>
  <c r="O197" i="1"/>
  <c r="N197" i="1"/>
  <c r="M197" i="1"/>
  <c r="L197" i="1"/>
  <c r="P196" i="1"/>
  <c r="O196" i="1"/>
  <c r="N196" i="1"/>
  <c r="M196" i="1"/>
  <c r="L196" i="1"/>
  <c r="P195" i="1"/>
  <c r="O195" i="1"/>
  <c r="N195" i="1"/>
  <c r="G52" i="2" s="1"/>
  <c r="G61" i="3" s="1"/>
  <c r="M195" i="1"/>
  <c r="L195" i="1"/>
  <c r="P194" i="1"/>
  <c r="O194" i="1"/>
  <c r="N194" i="1"/>
  <c r="M194" i="1"/>
  <c r="L194" i="1"/>
  <c r="P193" i="1"/>
  <c r="O193" i="1"/>
  <c r="N193" i="1"/>
  <c r="M193" i="1"/>
  <c r="L193" i="1"/>
  <c r="P192" i="1"/>
  <c r="O192" i="1"/>
  <c r="N192" i="1"/>
  <c r="M192" i="1"/>
  <c r="L192" i="1"/>
  <c r="P191" i="1"/>
  <c r="O191" i="1"/>
  <c r="N191" i="1"/>
  <c r="M191" i="1"/>
  <c r="L191" i="1"/>
  <c r="P190" i="1"/>
  <c r="O190" i="1"/>
  <c r="N190" i="1"/>
  <c r="M190" i="1"/>
  <c r="L190" i="1"/>
  <c r="P189" i="1"/>
  <c r="O189" i="1"/>
  <c r="N189" i="1"/>
  <c r="M189" i="1"/>
  <c r="L189" i="1"/>
  <c r="P188" i="1"/>
  <c r="O188" i="1"/>
  <c r="N188" i="1"/>
  <c r="M188" i="1"/>
  <c r="L188" i="1"/>
  <c r="P187" i="1"/>
  <c r="O187" i="1"/>
  <c r="N187" i="1"/>
  <c r="M187" i="1"/>
  <c r="L187" i="1"/>
  <c r="P186" i="1"/>
  <c r="O186" i="1"/>
  <c r="N186" i="1"/>
  <c r="M186" i="1"/>
  <c r="L186" i="1"/>
  <c r="P185" i="1"/>
  <c r="O185" i="1"/>
  <c r="N185" i="1"/>
  <c r="M185" i="1"/>
  <c r="L185" i="1"/>
  <c r="P184" i="1"/>
  <c r="O184" i="1"/>
  <c r="N184" i="1"/>
  <c r="M184" i="1"/>
  <c r="L184" i="1"/>
  <c r="P183" i="1"/>
  <c r="O183" i="1"/>
  <c r="N183" i="1"/>
  <c r="M183" i="1"/>
  <c r="L183" i="1"/>
  <c r="P182" i="1"/>
  <c r="O182" i="1"/>
  <c r="N182" i="1"/>
  <c r="M182" i="1"/>
  <c r="L182" i="1"/>
  <c r="P181" i="1"/>
  <c r="O181" i="1"/>
  <c r="N181" i="1"/>
  <c r="M181" i="1"/>
  <c r="L181" i="1"/>
  <c r="P180" i="1"/>
  <c r="O180" i="1"/>
  <c r="N180" i="1"/>
  <c r="M180" i="1"/>
  <c r="L180" i="1"/>
  <c r="P179" i="1"/>
  <c r="O179" i="1"/>
  <c r="N179" i="1"/>
  <c r="M179" i="1"/>
  <c r="L179" i="1"/>
  <c r="P178" i="1"/>
  <c r="O178" i="1"/>
  <c r="N178" i="1"/>
  <c r="M178" i="1"/>
  <c r="L178" i="1"/>
  <c r="P177" i="1"/>
  <c r="O177" i="1"/>
  <c r="N177" i="1"/>
  <c r="M177" i="1"/>
  <c r="L177" i="1"/>
  <c r="P176" i="1"/>
  <c r="O176" i="1"/>
  <c r="N176" i="1"/>
  <c r="G46" i="2" s="1"/>
  <c r="G55" i="3" s="1"/>
  <c r="M176" i="1"/>
  <c r="L176" i="1"/>
  <c r="P175" i="1"/>
  <c r="O175" i="1"/>
  <c r="N175" i="1"/>
  <c r="M175" i="1"/>
  <c r="L175" i="1"/>
  <c r="P174" i="1"/>
  <c r="O174" i="1"/>
  <c r="N174" i="1"/>
  <c r="M174" i="1"/>
  <c r="L174" i="1"/>
  <c r="P173" i="1"/>
  <c r="O173" i="1"/>
  <c r="N173" i="1"/>
  <c r="M173" i="1"/>
  <c r="L173" i="1"/>
  <c r="P172" i="1"/>
  <c r="O172" i="1"/>
  <c r="N172" i="1"/>
  <c r="M172" i="1"/>
  <c r="L172" i="1"/>
  <c r="P171" i="1"/>
  <c r="O171" i="1"/>
  <c r="N171" i="1"/>
  <c r="M171" i="1"/>
  <c r="L171" i="1"/>
  <c r="P170" i="1"/>
  <c r="O170" i="1"/>
  <c r="N170" i="1"/>
  <c r="M170" i="1"/>
  <c r="L170" i="1"/>
  <c r="P169" i="1"/>
  <c r="O169" i="1"/>
  <c r="N169" i="1"/>
  <c r="M169" i="1"/>
  <c r="L169" i="1"/>
  <c r="P168" i="1"/>
  <c r="O168" i="1"/>
  <c r="N168" i="1"/>
  <c r="M168" i="1"/>
  <c r="L168" i="1"/>
  <c r="P167" i="1"/>
  <c r="O167" i="1"/>
  <c r="N167" i="1"/>
  <c r="M167" i="1"/>
  <c r="L167" i="1"/>
  <c r="P166" i="1"/>
  <c r="O166" i="1"/>
  <c r="N166" i="1"/>
  <c r="M166" i="1"/>
  <c r="L166" i="1"/>
  <c r="P165" i="1"/>
  <c r="O165" i="1"/>
  <c r="N165" i="1"/>
  <c r="M165" i="1"/>
  <c r="L165" i="1"/>
  <c r="P164" i="1"/>
  <c r="O164" i="1"/>
  <c r="N164" i="1"/>
  <c r="M164" i="1"/>
  <c r="L164" i="1"/>
  <c r="P163" i="1"/>
  <c r="O163" i="1"/>
  <c r="N163" i="1"/>
  <c r="M163" i="1"/>
  <c r="L163" i="1"/>
  <c r="P162" i="1"/>
  <c r="O162" i="1"/>
  <c r="N162" i="1"/>
  <c r="M162" i="1"/>
  <c r="L162" i="1"/>
  <c r="P161" i="1"/>
  <c r="O161" i="1"/>
  <c r="N161" i="1"/>
  <c r="M161" i="1"/>
  <c r="L161" i="1"/>
  <c r="P160" i="1"/>
  <c r="O160" i="1"/>
  <c r="N160" i="1"/>
  <c r="M160" i="1"/>
  <c r="L160" i="1"/>
  <c r="P159" i="1"/>
  <c r="O159" i="1"/>
  <c r="N159" i="1"/>
  <c r="M159" i="1"/>
  <c r="L159" i="1"/>
  <c r="P158" i="1"/>
  <c r="O158" i="1"/>
  <c r="N158" i="1"/>
  <c r="M158" i="1"/>
  <c r="L158" i="1"/>
  <c r="P157" i="1"/>
  <c r="O157" i="1"/>
  <c r="N157" i="1"/>
  <c r="M157" i="1"/>
  <c r="L157" i="1"/>
  <c r="P156" i="1"/>
  <c r="O156" i="1"/>
  <c r="N156" i="1"/>
  <c r="M156" i="1"/>
  <c r="L156" i="1"/>
  <c r="P155" i="1"/>
  <c r="O155" i="1"/>
  <c r="N155" i="1"/>
  <c r="M155" i="1"/>
  <c r="L155" i="1"/>
  <c r="P154" i="1"/>
  <c r="O154" i="1"/>
  <c r="N154" i="1"/>
  <c r="M154" i="1"/>
  <c r="L154" i="1"/>
  <c r="P153" i="1"/>
  <c r="O153" i="1"/>
  <c r="N153" i="1"/>
  <c r="M153" i="1"/>
  <c r="L153" i="1"/>
  <c r="P152" i="1"/>
  <c r="O152" i="1"/>
  <c r="N152" i="1"/>
  <c r="M152" i="1"/>
  <c r="L152" i="1"/>
  <c r="P151" i="1"/>
  <c r="O151" i="1"/>
  <c r="N151" i="1"/>
  <c r="M151" i="1"/>
  <c r="L151" i="1"/>
  <c r="P150" i="1"/>
  <c r="O150" i="1"/>
  <c r="N150" i="1"/>
  <c r="M150" i="1"/>
  <c r="L150" i="1"/>
  <c r="P149" i="1"/>
  <c r="O149" i="1"/>
  <c r="N149" i="1"/>
  <c r="M149" i="1"/>
  <c r="L149" i="1"/>
  <c r="P148" i="1"/>
  <c r="O148" i="1"/>
  <c r="N148" i="1"/>
  <c r="M148" i="1"/>
  <c r="L148" i="1"/>
  <c r="P147" i="1"/>
  <c r="O147" i="1"/>
  <c r="N147" i="1"/>
  <c r="M147" i="1"/>
  <c r="L147" i="1"/>
  <c r="P146" i="1"/>
  <c r="O146" i="1"/>
  <c r="N146" i="1"/>
  <c r="M146" i="1"/>
  <c r="L146" i="1"/>
  <c r="P145" i="1"/>
  <c r="O145" i="1"/>
  <c r="N145" i="1"/>
  <c r="M145" i="1"/>
  <c r="L145" i="1"/>
  <c r="P144" i="1"/>
  <c r="O144" i="1"/>
  <c r="N144" i="1"/>
  <c r="M144" i="1"/>
  <c r="L144" i="1"/>
  <c r="P143" i="1"/>
  <c r="O143" i="1"/>
  <c r="N143" i="1"/>
  <c r="M143" i="1"/>
  <c r="L143" i="1"/>
  <c r="P142" i="1"/>
  <c r="O142" i="1"/>
  <c r="N142" i="1"/>
  <c r="M142" i="1"/>
  <c r="L142" i="1"/>
  <c r="P141" i="1"/>
  <c r="O141" i="1"/>
  <c r="N141" i="1"/>
  <c r="M141" i="1"/>
  <c r="L141" i="1"/>
  <c r="P140" i="1"/>
  <c r="O140" i="1"/>
  <c r="N140" i="1"/>
  <c r="M140" i="1"/>
  <c r="L140" i="1"/>
  <c r="P139" i="1"/>
  <c r="O139" i="1"/>
  <c r="N139" i="1"/>
  <c r="M139" i="1"/>
  <c r="L139" i="1"/>
  <c r="P138" i="1"/>
  <c r="O138" i="1"/>
  <c r="N138" i="1"/>
  <c r="M138" i="1"/>
  <c r="L138" i="1"/>
  <c r="P137" i="1"/>
  <c r="O137" i="1"/>
  <c r="N137" i="1"/>
  <c r="M137" i="1"/>
  <c r="L137" i="1"/>
  <c r="P136" i="1"/>
  <c r="O136" i="1"/>
  <c r="N136" i="1"/>
  <c r="M136" i="1"/>
  <c r="L136" i="1"/>
  <c r="P135" i="1"/>
  <c r="O135" i="1"/>
  <c r="N135" i="1"/>
  <c r="M135" i="1"/>
  <c r="L135" i="1"/>
  <c r="P134" i="1"/>
  <c r="O134" i="1"/>
  <c r="N134" i="1"/>
  <c r="M134" i="1"/>
  <c r="L134" i="1"/>
  <c r="P133" i="1"/>
  <c r="O133" i="1"/>
  <c r="N133" i="1"/>
  <c r="M133" i="1"/>
  <c r="L133" i="1"/>
  <c r="P132" i="1"/>
  <c r="O132" i="1"/>
  <c r="N132" i="1"/>
  <c r="M132" i="1"/>
  <c r="L132" i="1"/>
  <c r="P131" i="1"/>
  <c r="O131" i="1"/>
  <c r="N131" i="1"/>
  <c r="M131" i="1"/>
  <c r="L131" i="1"/>
  <c r="P130" i="1"/>
  <c r="O130" i="1"/>
  <c r="N130" i="1"/>
  <c r="M130" i="1"/>
  <c r="L130" i="1"/>
  <c r="P129" i="1"/>
  <c r="O129" i="1"/>
  <c r="N129" i="1"/>
  <c r="M129" i="1"/>
  <c r="L129" i="1"/>
  <c r="P128" i="1"/>
  <c r="O128" i="1"/>
  <c r="N128" i="1"/>
  <c r="M128" i="1"/>
  <c r="L128" i="1"/>
  <c r="P127" i="1"/>
  <c r="O127" i="1"/>
  <c r="N127" i="1"/>
  <c r="M127" i="1"/>
  <c r="L127" i="1"/>
  <c r="P126" i="1"/>
  <c r="O126" i="1"/>
  <c r="N126" i="1"/>
  <c r="M126" i="1"/>
  <c r="L126" i="1"/>
  <c r="P125" i="1"/>
  <c r="O125" i="1"/>
  <c r="N125" i="1"/>
  <c r="M125" i="1"/>
  <c r="L125" i="1"/>
  <c r="P124" i="1"/>
  <c r="O124" i="1"/>
  <c r="N124" i="1"/>
  <c r="M124" i="1"/>
  <c r="L124" i="1"/>
  <c r="P123" i="1"/>
  <c r="O123" i="1"/>
  <c r="N123" i="1"/>
  <c r="M123" i="1"/>
  <c r="L123" i="1"/>
  <c r="P122" i="1"/>
  <c r="O122" i="1"/>
  <c r="N122" i="1"/>
  <c r="M122" i="1"/>
  <c r="L122" i="1"/>
  <c r="P121" i="1"/>
  <c r="O121" i="1"/>
  <c r="N121" i="1"/>
  <c r="M121" i="1"/>
  <c r="L121" i="1"/>
  <c r="P120" i="1"/>
  <c r="O120" i="1"/>
  <c r="N120" i="1"/>
  <c r="M120" i="1"/>
  <c r="L120" i="1"/>
  <c r="P119" i="1"/>
  <c r="O119" i="1"/>
  <c r="N119" i="1"/>
  <c r="M119" i="1"/>
  <c r="L119" i="1"/>
  <c r="P118" i="1"/>
  <c r="O118" i="1"/>
  <c r="N118" i="1"/>
  <c r="M118" i="1"/>
  <c r="L118" i="1"/>
  <c r="P117" i="1"/>
  <c r="O117" i="1"/>
  <c r="N117" i="1"/>
  <c r="M117" i="1"/>
  <c r="L117" i="1"/>
  <c r="P116" i="1"/>
  <c r="O116" i="1"/>
  <c r="N116" i="1"/>
  <c r="M116" i="1"/>
  <c r="L116" i="1"/>
  <c r="P115" i="1"/>
  <c r="O115" i="1"/>
  <c r="N115" i="1"/>
  <c r="M115" i="1"/>
  <c r="L115" i="1"/>
  <c r="P114" i="1"/>
  <c r="O114" i="1"/>
  <c r="N114" i="1"/>
  <c r="M114" i="1"/>
  <c r="L114" i="1"/>
  <c r="P113" i="1"/>
  <c r="O113" i="1"/>
  <c r="N113" i="1"/>
  <c r="M113" i="1"/>
  <c r="L113" i="1"/>
  <c r="P112" i="1"/>
  <c r="O112" i="1"/>
  <c r="N112" i="1"/>
  <c r="M112" i="1"/>
  <c r="L112" i="1"/>
  <c r="P111" i="1"/>
  <c r="O111" i="1"/>
  <c r="N111" i="1"/>
  <c r="M111" i="1"/>
  <c r="L111" i="1"/>
  <c r="P110" i="1"/>
  <c r="O110" i="1"/>
  <c r="N110" i="1"/>
  <c r="M110" i="1"/>
  <c r="L110" i="1"/>
  <c r="P109" i="1"/>
  <c r="O109" i="1"/>
  <c r="N109" i="1"/>
  <c r="M109" i="1"/>
  <c r="L109" i="1"/>
  <c r="P108" i="1"/>
  <c r="O108" i="1"/>
  <c r="N108" i="1"/>
  <c r="M108" i="1"/>
  <c r="L108" i="1"/>
  <c r="P107" i="1"/>
  <c r="O107" i="1"/>
  <c r="N107" i="1"/>
  <c r="M107" i="1"/>
  <c r="L107" i="1"/>
  <c r="P106" i="1"/>
  <c r="O106" i="1"/>
  <c r="N106" i="1"/>
  <c r="M106" i="1"/>
  <c r="L106" i="1"/>
  <c r="P105" i="1"/>
  <c r="O105" i="1"/>
  <c r="N105" i="1"/>
  <c r="M105" i="1"/>
  <c r="L105" i="1"/>
  <c r="P104" i="1"/>
  <c r="O104" i="1"/>
  <c r="N104" i="1"/>
  <c r="M104" i="1"/>
  <c r="L104" i="1"/>
  <c r="P103" i="1"/>
  <c r="O103" i="1"/>
  <c r="N103" i="1"/>
  <c r="M103" i="1"/>
  <c r="L103" i="1"/>
  <c r="P102" i="1"/>
  <c r="O102" i="1"/>
  <c r="N102" i="1"/>
  <c r="M102" i="1"/>
  <c r="L102" i="1"/>
  <c r="P101" i="1"/>
  <c r="O101" i="1"/>
  <c r="N101" i="1"/>
  <c r="M101" i="1"/>
  <c r="L101" i="1"/>
  <c r="P100" i="1"/>
  <c r="O100" i="1"/>
  <c r="N100" i="1"/>
  <c r="M100" i="1"/>
  <c r="L100" i="1"/>
  <c r="P99" i="1"/>
  <c r="O99" i="1"/>
  <c r="N99" i="1"/>
  <c r="M99" i="1"/>
  <c r="L99" i="1"/>
  <c r="P98" i="1"/>
  <c r="O98" i="1"/>
  <c r="N98" i="1"/>
  <c r="M98" i="1"/>
  <c r="L98" i="1"/>
  <c r="P97" i="1"/>
  <c r="O97" i="1"/>
  <c r="N97" i="1"/>
  <c r="M97" i="1"/>
  <c r="L97" i="1"/>
  <c r="P96" i="1"/>
  <c r="O96" i="1"/>
  <c r="N96" i="1"/>
  <c r="M96" i="1"/>
  <c r="L96" i="1"/>
  <c r="P95" i="1"/>
  <c r="O95" i="1"/>
  <c r="N95" i="1"/>
  <c r="M95" i="1"/>
  <c r="L95" i="1"/>
  <c r="P94" i="1"/>
  <c r="O94" i="1"/>
  <c r="N94" i="1"/>
  <c r="M94" i="1"/>
  <c r="L94" i="1"/>
  <c r="P93" i="1"/>
  <c r="O93" i="1"/>
  <c r="N93" i="1"/>
  <c r="M93" i="1"/>
  <c r="L93" i="1"/>
  <c r="P92" i="1"/>
  <c r="O92" i="1"/>
  <c r="N92" i="1"/>
  <c r="M92" i="1"/>
  <c r="L92" i="1"/>
  <c r="P91" i="1"/>
  <c r="O91" i="1"/>
  <c r="N91" i="1"/>
  <c r="M91" i="1"/>
  <c r="L91" i="1"/>
  <c r="P90" i="1"/>
  <c r="O90" i="1"/>
  <c r="N90" i="1"/>
  <c r="M90" i="1"/>
  <c r="L90" i="1"/>
  <c r="P89" i="1"/>
  <c r="O89" i="1"/>
  <c r="N89" i="1"/>
  <c r="M89" i="1"/>
  <c r="L89" i="1"/>
  <c r="P88" i="1"/>
  <c r="O88" i="1"/>
  <c r="N88" i="1"/>
  <c r="G42" i="2" s="1"/>
  <c r="G51" i="3" s="1"/>
  <c r="M88" i="1"/>
  <c r="L88" i="1"/>
  <c r="P87" i="1"/>
  <c r="O87" i="1"/>
  <c r="N87" i="1"/>
  <c r="M87" i="1"/>
  <c r="L87" i="1"/>
  <c r="P86" i="1"/>
  <c r="O86" i="1"/>
  <c r="N86" i="1"/>
  <c r="M86" i="1"/>
  <c r="L86" i="1"/>
  <c r="P85" i="1"/>
  <c r="O85" i="1"/>
  <c r="N85" i="1"/>
  <c r="M85" i="1"/>
  <c r="L85" i="1"/>
  <c r="P84" i="1"/>
  <c r="O84" i="1"/>
  <c r="N84" i="1"/>
  <c r="M84" i="1"/>
  <c r="L84" i="1"/>
  <c r="P83" i="1"/>
  <c r="O83" i="1"/>
  <c r="N83" i="1"/>
  <c r="M83" i="1"/>
  <c r="L83" i="1"/>
  <c r="P82" i="1"/>
  <c r="O82" i="1"/>
  <c r="N82" i="1"/>
  <c r="M82" i="1"/>
  <c r="L82" i="1"/>
  <c r="P81" i="1"/>
  <c r="O81" i="1"/>
  <c r="N81" i="1"/>
  <c r="M81" i="1"/>
  <c r="L81" i="1"/>
  <c r="P80" i="1"/>
  <c r="O80" i="1"/>
  <c r="N80" i="1"/>
  <c r="M80" i="1"/>
  <c r="L80" i="1"/>
  <c r="P79" i="1"/>
  <c r="O79" i="1"/>
  <c r="N79" i="1"/>
  <c r="M79" i="1"/>
  <c r="L79" i="1"/>
  <c r="P78" i="1"/>
  <c r="O78" i="1"/>
  <c r="N78" i="1"/>
  <c r="M78" i="1"/>
  <c r="L78" i="1"/>
  <c r="P77" i="1"/>
  <c r="O77" i="1"/>
  <c r="N77" i="1"/>
  <c r="M77" i="1"/>
  <c r="L77" i="1"/>
  <c r="P76" i="1"/>
  <c r="O76" i="1"/>
  <c r="N76" i="1"/>
  <c r="M76" i="1"/>
  <c r="L76" i="1"/>
  <c r="P75" i="1"/>
  <c r="O75" i="1"/>
  <c r="N75" i="1"/>
  <c r="M75" i="1"/>
  <c r="L75" i="1"/>
  <c r="P74" i="1"/>
  <c r="O74" i="1"/>
  <c r="N74" i="1"/>
  <c r="M74" i="1"/>
  <c r="L74" i="1"/>
  <c r="P73" i="1"/>
  <c r="O73" i="1"/>
  <c r="N73" i="1"/>
  <c r="M73" i="1"/>
  <c r="L73" i="1"/>
  <c r="P72" i="1"/>
  <c r="O72" i="1"/>
  <c r="N72" i="1"/>
  <c r="M72" i="1"/>
  <c r="L72" i="1"/>
  <c r="P71" i="1"/>
  <c r="O71" i="1"/>
  <c r="N71" i="1"/>
  <c r="M71" i="1"/>
  <c r="L71" i="1"/>
  <c r="P70" i="1"/>
  <c r="O70" i="1"/>
  <c r="N70" i="1"/>
  <c r="M70" i="1"/>
  <c r="L70" i="1"/>
  <c r="P69" i="1"/>
  <c r="O69" i="1"/>
  <c r="N69" i="1"/>
  <c r="M69" i="1"/>
  <c r="L69" i="1"/>
  <c r="P68" i="1"/>
  <c r="O68" i="1"/>
  <c r="N68" i="1"/>
  <c r="M68" i="1"/>
  <c r="L68" i="1"/>
  <c r="P67" i="1"/>
  <c r="O67" i="1"/>
  <c r="N67" i="1"/>
  <c r="G44" i="2" s="1"/>
  <c r="G53" i="3" s="1"/>
  <c r="M67" i="1"/>
  <c r="L67" i="1"/>
  <c r="P66" i="1"/>
  <c r="O66" i="1"/>
  <c r="N66" i="1"/>
  <c r="M66" i="1"/>
  <c r="L66" i="1"/>
  <c r="P65" i="1"/>
  <c r="O65" i="1"/>
  <c r="N65" i="1"/>
  <c r="M65" i="1"/>
  <c r="L65" i="1"/>
  <c r="P64" i="1"/>
  <c r="O64" i="1"/>
  <c r="N64" i="1"/>
  <c r="M64" i="1"/>
  <c r="L64" i="1"/>
  <c r="P63" i="1"/>
  <c r="O63" i="1"/>
  <c r="N63" i="1"/>
  <c r="M63" i="1"/>
  <c r="L63" i="1"/>
  <c r="P62" i="1"/>
  <c r="O62" i="1"/>
  <c r="N62" i="1"/>
  <c r="M62" i="1"/>
  <c r="L62" i="1"/>
  <c r="P61" i="1"/>
  <c r="O61" i="1"/>
  <c r="N61" i="1"/>
  <c r="M61" i="1"/>
  <c r="L61" i="1"/>
  <c r="P60" i="1"/>
  <c r="O60" i="1"/>
  <c r="N60" i="1"/>
  <c r="M60" i="1"/>
  <c r="L60" i="1"/>
  <c r="P59" i="1"/>
  <c r="O59" i="1"/>
  <c r="N59" i="1"/>
  <c r="M59" i="1"/>
  <c r="L59" i="1"/>
  <c r="P58" i="1"/>
  <c r="O58" i="1"/>
  <c r="N58" i="1"/>
  <c r="M58" i="1"/>
  <c r="L58" i="1"/>
  <c r="P57" i="1"/>
  <c r="O57" i="1"/>
  <c r="N57" i="1"/>
  <c r="M57" i="1"/>
  <c r="L57" i="1"/>
  <c r="P56" i="1"/>
  <c r="O56" i="1"/>
  <c r="N56" i="1"/>
  <c r="M56" i="1"/>
  <c r="L56" i="1"/>
  <c r="P55" i="1"/>
  <c r="O55" i="1"/>
  <c r="N55" i="1"/>
  <c r="M55" i="1"/>
  <c r="L55" i="1"/>
  <c r="P54" i="1"/>
  <c r="O54" i="1"/>
  <c r="N54" i="1"/>
  <c r="M54" i="1"/>
  <c r="L54" i="1"/>
  <c r="P53" i="1"/>
  <c r="O53" i="1"/>
  <c r="N53" i="1"/>
  <c r="M53" i="1"/>
  <c r="L53" i="1"/>
  <c r="P52" i="1"/>
  <c r="O52" i="1"/>
  <c r="N52" i="1"/>
  <c r="M52" i="1"/>
  <c r="L52" i="1"/>
  <c r="P51" i="1"/>
  <c r="O51" i="1"/>
  <c r="N51" i="1"/>
  <c r="M51" i="1"/>
  <c r="L51" i="1"/>
  <c r="P50" i="1"/>
  <c r="O50" i="1"/>
  <c r="N50" i="1"/>
  <c r="M50" i="1"/>
  <c r="L50" i="1"/>
  <c r="P49" i="1"/>
  <c r="O49" i="1"/>
  <c r="N49" i="1"/>
  <c r="M49" i="1"/>
  <c r="L49" i="1"/>
  <c r="P48" i="1"/>
  <c r="O48" i="1"/>
  <c r="N48" i="1"/>
  <c r="M48" i="1"/>
  <c r="L48" i="1"/>
  <c r="P47" i="1"/>
  <c r="O47" i="1"/>
  <c r="N47" i="1"/>
  <c r="M47" i="1"/>
  <c r="L47" i="1"/>
  <c r="P46" i="1"/>
  <c r="O46" i="1"/>
  <c r="N46" i="1"/>
  <c r="M46" i="1"/>
  <c r="L46" i="1"/>
  <c r="P45" i="1"/>
  <c r="O45" i="1"/>
  <c r="N45" i="1"/>
  <c r="M45" i="1"/>
  <c r="L45" i="1"/>
  <c r="P44" i="1"/>
  <c r="O44" i="1"/>
  <c r="N44" i="1"/>
  <c r="M44" i="1"/>
  <c r="L44" i="1"/>
  <c r="P43" i="1"/>
  <c r="O43" i="1"/>
  <c r="N43" i="1"/>
  <c r="M43" i="1"/>
  <c r="L43" i="1"/>
  <c r="P42" i="1"/>
  <c r="O42" i="1"/>
  <c r="N42" i="1"/>
  <c r="M42" i="1"/>
  <c r="L42" i="1"/>
  <c r="P41" i="1"/>
  <c r="O41" i="1"/>
  <c r="N41" i="1"/>
  <c r="M41" i="1"/>
  <c r="L41" i="1"/>
  <c r="P40" i="1"/>
  <c r="O40" i="1"/>
  <c r="N40" i="1"/>
  <c r="M40" i="1"/>
  <c r="L40" i="1"/>
  <c r="P39" i="1"/>
  <c r="O39" i="1"/>
  <c r="N39" i="1"/>
  <c r="M39" i="1"/>
  <c r="L39" i="1"/>
  <c r="P38" i="1"/>
  <c r="O38" i="1"/>
  <c r="N38" i="1"/>
  <c r="M38" i="1"/>
  <c r="L38" i="1"/>
  <c r="P37" i="1"/>
  <c r="O37" i="1"/>
  <c r="N37" i="1"/>
  <c r="M37" i="1"/>
  <c r="L37" i="1"/>
  <c r="P36" i="1"/>
  <c r="O36" i="1"/>
  <c r="N36" i="1"/>
  <c r="M36" i="1"/>
  <c r="L36" i="1"/>
  <c r="P35" i="1"/>
  <c r="O35" i="1"/>
  <c r="N35" i="1"/>
  <c r="M35" i="1"/>
  <c r="L35" i="1"/>
  <c r="P34" i="1"/>
  <c r="O34" i="1"/>
  <c r="N34" i="1"/>
  <c r="M34" i="1"/>
  <c r="L34" i="1"/>
  <c r="P33" i="1"/>
  <c r="O33" i="1"/>
  <c r="N33" i="1"/>
  <c r="M33" i="1"/>
  <c r="L33" i="1"/>
  <c r="P32" i="1"/>
  <c r="O32" i="1"/>
  <c r="N32" i="1"/>
  <c r="M32" i="1"/>
  <c r="L32" i="1"/>
  <c r="P31" i="1"/>
  <c r="O31" i="1"/>
  <c r="N31" i="1"/>
  <c r="M31" i="1"/>
  <c r="L31" i="1"/>
  <c r="P30" i="1"/>
  <c r="O30" i="1"/>
  <c r="N30" i="1"/>
  <c r="M30" i="1"/>
  <c r="L30" i="1"/>
  <c r="P29" i="1"/>
  <c r="O29" i="1"/>
  <c r="N29" i="1"/>
  <c r="M29" i="1"/>
  <c r="L29" i="1"/>
  <c r="P28" i="1"/>
  <c r="O28" i="1"/>
  <c r="N28" i="1"/>
  <c r="M28" i="1"/>
  <c r="L28" i="1"/>
  <c r="P27" i="1"/>
  <c r="O27" i="1"/>
  <c r="N27" i="1"/>
  <c r="M27" i="1"/>
  <c r="L27" i="1"/>
  <c r="P26" i="1"/>
  <c r="O26" i="1"/>
  <c r="N26" i="1"/>
  <c r="M26" i="1"/>
  <c r="L26" i="1"/>
  <c r="P25" i="1"/>
  <c r="O25" i="1"/>
  <c r="N25" i="1"/>
  <c r="M25" i="1"/>
  <c r="L25" i="1"/>
  <c r="P24" i="1"/>
  <c r="O24" i="1"/>
  <c r="N24" i="1"/>
  <c r="M24" i="1"/>
  <c r="L24" i="1"/>
  <c r="P23" i="1"/>
  <c r="O23" i="1"/>
  <c r="N23" i="1"/>
  <c r="M23" i="1"/>
  <c r="L23" i="1"/>
  <c r="P22" i="1"/>
  <c r="O22" i="1"/>
  <c r="N22" i="1"/>
  <c r="M22" i="1"/>
  <c r="L22" i="1"/>
  <c r="P21" i="1"/>
  <c r="O21" i="1"/>
  <c r="N21" i="1"/>
  <c r="M21" i="1"/>
  <c r="L21" i="1"/>
  <c r="P20" i="1"/>
  <c r="O20" i="1"/>
  <c r="N20" i="1"/>
  <c r="M20" i="1"/>
  <c r="L20" i="1"/>
  <c r="P19" i="1"/>
  <c r="O19" i="1"/>
  <c r="N19" i="1"/>
  <c r="M19" i="1"/>
  <c r="L19" i="1"/>
  <c r="P18" i="1"/>
  <c r="O18" i="1"/>
  <c r="N18" i="1"/>
  <c r="M18" i="1"/>
  <c r="L18" i="1"/>
  <c r="P17" i="1"/>
  <c r="O17" i="1"/>
  <c r="N17" i="1"/>
  <c r="M17" i="1"/>
  <c r="L17" i="1"/>
  <c r="P16" i="1"/>
  <c r="O16" i="1"/>
  <c r="N16" i="1"/>
  <c r="M16" i="1"/>
  <c r="L16" i="1"/>
  <c r="P15" i="1"/>
  <c r="O15" i="1"/>
  <c r="N15" i="1"/>
  <c r="M15" i="1"/>
  <c r="L15" i="1"/>
  <c r="P14" i="1"/>
  <c r="O14" i="1"/>
  <c r="N14" i="1"/>
  <c r="M14" i="1"/>
  <c r="L14" i="1"/>
  <c r="P13" i="1"/>
  <c r="O13" i="1"/>
  <c r="N13" i="1"/>
  <c r="M13" i="1"/>
  <c r="L13" i="1"/>
  <c r="P12" i="1"/>
  <c r="O12" i="1"/>
  <c r="N12" i="1"/>
  <c r="M12" i="1"/>
  <c r="L12" i="1"/>
  <c r="P11" i="1"/>
  <c r="O11" i="1"/>
  <c r="N11" i="1"/>
  <c r="M11" i="1"/>
  <c r="L11" i="1"/>
  <c r="P10" i="1"/>
  <c r="O10" i="1"/>
  <c r="N10" i="1"/>
  <c r="M10" i="1"/>
  <c r="L10" i="1"/>
  <c r="P9" i="1"/>
  <c r="O9" i="1"/>
  <c r="N9" i="1"/>
  <c r="M9" i="1"/>
  <c r="L9" i="1"/>
  <c r="P8" i="1"/>
  <c r="O8" i="1"/>
  <c r="N8" i="1"/>
  <c r="M8" i="1"/>
  <c r="L8" i="1"/>
  <c r="P7" i="1"/>
  <c r="O7" i="1"/>
  <c r="N7" i="1"/>
  <c r="G40" i="2" s="1"/>
  <c r="G49" i="3" s="1"/>
  <c r="M7" i="1"/>
  <c r="L7" i="1"/>
  <c r="P6" i="1"/>
  <c r="O6" i="1"/>
  <c r="N6" i="1"/>
  <c r="M6" i="1"/>
  <c r="L6" i="1"/>
  <c r="P5" i="1"/>
  <c r="O5" i="1"/>
  <c r="N5" i="1"/>
  <c r="M5" i="1"/>
  <c r="L5" i="1"/>
  <c r="P4" i="1"/>
  <c r="O4" i="1"/>
  <c r="N4" i="1"/>
  <c r="M4" i="1"/>
  <c r="L4" i="1"/>
  <c r="P3" i="1"/>
  <c r="O3" i="1"/>
  <c r="N3" i="1"/>
  <c r="M3" i="1"/>
  <c r="L3" i="1"/>
  <c r="P2" i="1"/>
  <c r="O2" i="1"/>
  <c r="N2" i="1"/>
  <c r="M2" i="1"/>
  <c r="L2" i="1"/>
  <c r="H18" i="2" l="1"/>
  <c r="H20" i="2"/>
  <c r="H22" i="2"/>
  <c r="H24" i="2"/>
  <c r="H31" i="2"/>
  <c r="H33" i="2"/>
  <c r="H17" i="2"/>
  <c r="H19" i="2"/>
  <c r="H21" i="2"/>
  <c r="H23" i="2"/>
  <c r="H30" i="2"/>
  <c r="H32" i="2"/>
  <c r="H34" i="2"/>
</calcChain>
</file>

<file path=xl/sharedStrings.xml><?xml version="1.0" encoding="utf-8"?>
<sst xmlns="http://schemas.openxmlformats.org/spreadsheetml/2006/main" count="1654" uniqueCount="183">
  <si>
    <t>campaign_id</t>
  </si>
  <si>
    <t>campaign_name</t>
  </si>
  <si>
    <t>channel</t>
  </si>
  <si>
    <t>campaign_type</t>
  </si>
  <si>
    <t>start_date</t>
  </si>
  <si>
    <t>end_date</t>
  </si>
  <si>
    <t>spend</t>
  </si>
  <si>
    <t>impressions</t>
  </si>
  <si>
    <t>clicks</t>
  </si>
  <si>
    <t>conversions</t>
  </si>
  <si>
    <t>revenue</t>
  </si>
  <si>
    <t>ctr</t>
  </si>
  <si>
    <t>conversion_rate</t>
  </si>
  <si>
    <t>roas</t>
  </si>
  <si>
    <t>cpc</t>
  </si>
  <si>
    <t>cost_per_conversion</t>
  </si>
  <si>
    <t>Cart Recovery - Instagram</t>
  </si>
  <si>
    <t>Instagram Ads</t>
  </si>
  <si>
    <t>Retargeting</t>
  </si>
  <si>
    <t>Referral Boost - Instagram</t>
  </si>
  <si>
    <t>Product Launch</t>
  </si>
  <si>
    <t>Cart Recovery - Email</t>
  </si>
  <si>
    <t>Email Marketing</t>
  </si>
  <si>
    <t>Lead Generation</t>
  </si>
  <si>
    <t>Weekend Special - Affiliate</t>
  </si>
  <si>
    <t>Affiliate Marketing</t>
  </si>
  <si>
    <t>Brand Awareness</t>
  </si>
  <si>
    <t>Flash Deal - Google</t>
  </si>
  <si>
    <t>Google Search Ads</t>
  </si>
  <si>
    <t>App Install Drive - Affiliate</t>
  </si>
  <si>
    <t>Back to School - Affiliate</t>
  </si>
  <si>
    <t>Year End Clearance - Affiliate</t>
  </si>
  <si>
    <t>Weekend Special - Google</t>
  </si>
  <si>
    <t>Holiday Promo - Email</t>
  </si>
  <si>
    <t>VIP Early Access - Email</t>
  </si>
  <si>
    <t>Referral Boost - Email</t>
  </si>
  <si>
    <t>Summer Sale - LinkedIn</t>
  </si>
  <si>
    <t>LinkedIn Ads</t>
  </si>
  <si>
    <t>Conversion</t>
  </si>
  <si>
    <t>Summer Sale - Instagram</t>
  </si>
  <si>
    <t>VIP Early Access - TikTok</t>
  </si>
  <si>
    <t>TikTok Ads</t>
  </si>
  <si>
    <t>Newsletter Signup - LinkedIn</t>
  </si>
  <si>
    <t>Back to School - Email</t>
  </si>
  <si>
    <t>Summer Sale - Google</t>
  </si>
  <si>
    <t>Year End Clearance - TikTok</t>
  </si>
  <si>
    <t>Cart Recovery - Facebook</t>
  </si>
  <si>
    <t>Facebook Ads</t>
  </si>
  <si>
    <t>Loyalty Rewards - Instagram</t>
  </si>
  <si>
    <t>Loyalty Rewards - TikTok</t>
  </si>
  <si>
    <t>New Customer Push - Email</t>
  </si>
  <si>
    <t>Brand Refresh - Affiliate</t>
  </si>
  <si>
    <t>Summer Sale - Email</t>
  </si>
  <si>
    <t>Product Launch - Instagram</t>
  </si>
  <si>
    <t>Year End Clearance - LinkedIn</t>
  </si>
  <si>
    <t>Product Launch - Facebook</t>
  </si>
  <si>
    <t>Back to School - LinkedIn</t>
  </si>
  <si>
    <t>Weekend Special - TikTok</t>
  </si>
  <si>
    <t>Flash Deal - Instagram</t>
  </si>
  <si>
    <t>Brand Refresh - YouTube</t>
  </si>
  <si>
    <t>YouTube Ads</t>
  </si>
  <si>
    <t>Product Launch - Email</t>
  </si>
  <si>
    <t>Summer Sale - Affiliate</t>
  </si>
  <si>
    <t>Brand Refresh - Instagram</t>
  </si>
  <si>
    <t>Newsletter Signup - Email</t>
  </si>
  <si>
    <t>Holiday Promo - Instagram</t>
  </si>
  <si>
    <t>New Customer Push - Instagram</t>
  </si>
  <si>
    <t>Summer Sale - YouTube</t>
  </si>
  <si>
    <t>Product Launch - YouTube</t>
  </si>
  <si>
    <t>Weekend Special - Facebook</t>
  </si>
  <si>
    <t>Flash Deal - TikTok</t>
  </si>
  <si>
    <t>Brand Refresh - Facebook</t>
  </si>
  <si>
    <t>Holiday Promo - LinkedIn</t>
  </si>
  <si>
    <t>Newsletter Signup - Facebook</t>
  </si>
  <si>
    <t>Newsletter Signup - Google</t>
  </si>
  <si>
    <t>App Install Drive - Email</t>
  </si>
  <si>
    <t>Weekend Special - LinkedIn</t>
  </si>
  <si>
    <t>Weekend Special - Email</t>
  </si>
  <si>
    <t>New Customer Push - YouTube</t>
  </si>
  <si>
    <t>Year End Clearance - Google</t>
  </si>
  <si>
    <t>Holiday Promo - Facebook</t>
  </si>
  <si>
    <t>New Customer Push - Google</t>
  </si>
  <si>
    <t>New Customer Push - LinkedIn</t>
  </si>
  <si>
    <t>Back to School - Instagram</t>
  </si>
  <si>
    <t>Flash Deal - Email</t>
  </si>
  <si>
    <t>Year End Clearance - Instagram</t>
  </si>
  <si>
    <t>Loyalty Rewards - Facebook</t>
  </si>
  <si>
    <t>App Install Drive - Facebook</t>
  </si>
  <si>
    <t>Weekend Special - YouTube</t>
  </si>
  <si>
    <t>Newsletter Signup - Affiliate</t>
  </si>
  <si>
    <t>Referral Boost - TikTok</t>
  </si>
  <si>
    <t>Flash Deal - LinkedIn</t>
  </si>
  <si>
    <t>Cart Recovery - Affiliate</t>
  </si>
  <si>
    <t>VIP Early Access - Affiliate</t>
  </si>
  <si>
    <t>Loyalty Rewards - LinkedIn</t>
  </si>
  <si>
    <t>Cart Recovery - YouTube</t>
  </si>
  <si>
    <t>Brand Refresh - TikTok</t>
  </si>
  <si>
    <t>Referral Boost - LinkedIn</t>
  </si>
  <si>
    <t>Referral Boost - Google</t>
  </si>
  <si>
    <t>Flash Deal - YouTube</t>
  </si>
  <si>
    <t>App Install Drive - Instagram</t>
  </si>
  <si>
    <t>Holiday Promo - YouTube</t>
  </si>
  <si>
    <t>Product Launch - Google</t>
  </si>
  <si>
    <t>VIP Early Access - YouTube</t>
  </si>
  <si>
    <t>Back to School - YouTube</t>
  </si>
  <si>
    <t>Newsletter Signup - Instagram</t>
  </si>
  <si>
    <t>Loyalty Rewards - Email</t>
  </si>
  <si>
    <t>VIP Early Access - Facebook</t>
  </si>
  <si>
    <t>Referral Boost - Facebook</t>
  </si>
  <si>
    <t>App Install Drive - Google</t>
  </si>
  <si>
    <t>VIP Early Access - Instagram</t>
  </si>
  <si>
    <t>New Customer Push - Affiliate</t>
  </si>
  <si>
    <t>Product Launch - LinkedIn</t>
  </si>
  <si>
    <t>Flash Deal - Facebook</t>
  </si>
  <si>
    <t>Holiday Promo - Affiliate</t>
  </si>
  <si>
    <t>Year End Clearance - Facebook</t>
  </si>
  <si>
    <t>Holiday Promo - TikTok</t>
  </si>
  <si>
    <t>Year End Clearance - Email</t>
  </si>
  <si>
    <t>VIP Early Access - LinkedIn</t>
  </si>
  <si>
    <t>Year End Clearance - YouTube</t>
  </si>
  <si>
    <t>Holiday Promo - Google</t>
  </si>
  <si>
    <t>Loyalty Rewards - Affiliate</t>
  </si>
  <si>
    <t>Back to School - Google</t>
  </si>
  <si>
    <t>Loyalty Rewards - YouTube</t>
  </si>
  <si>
    <t>Loyalty Rewards - Google</t>
  </si>
  <si>
    <t>Product Launch - TikTok</t>
  </si>
  <si>
    <t>Brand Refresh - Google</t>
  </si>
  <si>
    <t>Flash Deal - Affiliate</t>
  </si>
  <si>
    <t>VIP Early Access - Google</t>
  </si>
  <si>
    <t>New Customer Push - Facebook</t>
  </si>
  <si>
    <t>Back to School - TikTok</t>
  </si>
  <si>
    <t>Product Launch - Affiliate</t>
  </si>
  <si>
    <t>Referral Boost - Affiliate</t>
  </si>
  <si>
    <t>Newsletter Signup - TikTok</t>
  </si>
  <si>
    <t>Weekend Special - Instagram</t>
  </si>
  <si>
    <t>App Install Drive - TikTok</t>
  </si>
  <si>
    <t>Brand Refresh - LinkedIn</t>
  </si>
  <si>
    <t>Brand Refresh - Email</t>
  </si>
  <si>
    <t>Summer Sale - Facebook</t>
  </si>
  <si>
    <t>Referral Boost - YouTube</t>
  </si>
  <si>
    <t>New Customer Push - TikTok</t>
  </si>
  <si>
    <t>Back to School - Facebook</t>
  </si>
  <si>
    <t>Summer Sale - TikTok</t>
  </si>
  <si>
    <t>App Install Drive - YouTube</t>
  </si>
  <si>
    <t>Cart Recovery - Google</t>
  </si>
  <si>
    <t>Cart Recovery - LinkedIn</t>
  </si>
  <si>
    <t>App Install Drive - LinkedIn</t>
  </si>
  <si>
    <t>Cart Recovery - TikTok</t>
  </si>
  <si>
    <t>Newsletter Signup - YouTube</t>
  </si>
  <si>
    <t>Marketing Campaign Analysis — Pivot Tables</t>
  </si>
  <si>
    <t>Total Campaigns</t>
  </si>
  <si>
    <t>Total Spend</t>
  </si>
  <si>
    <t>Total Revenue</t>
  </si>
  <si>
    <t>Total Impressions</t>
  </si>
  <si>
    <t>Total Clicks</t>
  </si>
  <si>
    <t>Total Conversions</t>
  </si>
  <si>
    <t>Overall CTR</t>
  </si>
  <si>
    <t>Overall Conversion Rate</t>
  </si>
  <si>
    <t>Overall ROAS</t>
  </si>
  <si>
    <t>Performance by Channel</t>
  </si>
  <si>
    <t>Channel</t>
  </si>
  <si>
    <t>Campaigns</t>
  </si>
  <si>
    <t>Spend</t>
  </si>
  <si>
    <t>Revenue</t>
  </si>
  <si>
    <t>Impressions</t>
  </si>
  <si>
    <t>Clicks</t>
  </si>
  <si>
    <t>Conversions</t>
  </si>
  <si>
    <t>ROAS</t>
  </si>
  <si>
    <t>Performance by Campaign Type</t>
  </si>
  <si>
    <t>Campaign Type</t>
  </si>
  <si>
    <t>Top Campaigns by Revenue</t>
  </si>
  <si>
    <t>Campaign</t>
  </si>
  <si>
    <t>Type</t>
  </si>
  <si>
    <t>MARKETING CAMPAIGN PERFORMANCE DASHBOARD</t>
  </si>
  <si>
    <t>Conversion Rate</t>
  </si>
  <si>
    <t>TOP CAMPAIGNS BY REVENUE</t>
  </si>
  <si>
    <t>Row Labels</t>
  </si>
  <si>
    <t>Grand Total</t>
  </si>
  <si>
    <t>Sum of Revenue</t>
  </si>
  <si>
    <t>Sum of ROAS</t>
  </si>
  <si>
    <t>Sum of Spend</t>
  </si>
  <si>
    <t>channel analysis</t>
  </si>
  <si>
    <t>campaign type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</si>
</sst>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"/>
    <numFmt numFmtId="165" formatCode="yyyy\-mm\-dd"/>
    <numFmt numFmtId="166" formatCode="0.00\x"/>
    <numFmt numFmtId="167" formatCode="\$0.00"/>
    <numFmt numFmtId="168" formatCode="\$#,##0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color rgb="FFFFFFFF"/>
      <name val="Calibri"/>
    </font>
    <font>
      <b/>
      <sz val="15"/>
      <color rgb="FFFFFFFF"/>
      <name val="Calibri"/>
    </font>
    <font>
      <b/>
      <sz val="11"/>
      <name val="Calibri"/>
    </font>
    <font>
      <b/>
      <sz val="20"/>
      <color rgb="FFFFFFFF"/>
      <name val="Calibri"/>
    </font>
    <font>
      <b/>
      <sz val="10"/>
      <color rgb="FFFFFFFF"/>
      <name val="Calibri"/>
    </font>
    <font>
      <b/>
      <sz val="18"/>
      <color rgb="FF17365D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164" fontId="1" fillId="0" borderId="0" xfId="0" applyNumberFormat="1" applyFont="1"/>
    <xf numFmtId="3" fontId="1" fillId="0" borderId="0" xfId="0" applyNumberFormat="1" applyFont="1"/>
    <xf numFmtId="0" fontId="2" fillId="2" borderId="0" xfId="0" applyFont="1" applyFill="1" applyAlignment="1">
      <alignment horizontal="center"/>
    </xf>
    <xf numFmtId="165" fontId="1" fillId="0" borderId="0" xfId="0" applyNumberFormat="1" applyFont="1" applyAlignment="1">
      <alignment horizontal="center"/>
    </xf>
    <xf numFmtId="10" fontId="0" fillId="0" borderId="0" xfId="0" applyNumberFormat="1"/>
    <xf numFmtId="166" fontId="0" fillId="0" borderId="0" xfId="0" applyNumberFormat="1"/>
    <xf numFmtId="167" fontId="0" fillId="0" borderId="0" xfId="0" applyNumberFormat="1"/>
    <xf numFmtId="164" fontId="0" fillId="0" borderId="0" xfId="0" applyNumberFormat="1"/>
    <xf numFmtId="0" fontId="4" fillId="0" borderId="0" xfId="0" applyFont="1"/>
    <xf numFmtId="168" fontId="0" fillId="0" borderId="0" xfId="0" applyNumberFormat="1"/>
    <xf numFmtId="164" fontId="2" fillId="2" borderId="0" xfId="0" applyNumberFormat="1" applyFont="1" applyFill="1" applyAlignment="1">
      <alignment horizontal="center"/>
    </xf>
    <xf numFmtId="166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vertical="center"/>
    </xf>
    <xf numFmtId="0" fontId="0" fillId="0" borderId="0" xfId="0"/>
    <xf numFmtId="164" fontId="0" fillId="0" borderId="0" xfId="0" applyNumberFormat="1"/>
    <xf numFmtId="166" fontId="0" fillId="0" borderId="0" xfId="0" applyNumberFormat="1"/>
    <xf numFmtId="0" fontId="3" fillId="3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/>
    </xf>
    <xf numFmtId="1" fontId="7" fillId="4" borderId="1" xfId="0" applyNumberFormat="1" applyFont="1" applyFill="1" applyBorder="1" applyAlignment="1">
      <alignment horizontal="center" vertical="center"/>
    </xf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168" fontId="7" fillId="4" borderId="1" xfId="0" applyNumberFormat="1" applyFont="1" applyFill="1" applyBorder="1" applyAlignment="1">
      <alignment horizontal="center" vertical="center"/>
    </xf>
    <xf numFmtId="166" fontId="7" fillId="4" borderId="1" xfId="0" applyNumberFormat="1" applyFont="1" applyFill="1" applyBorder="1" applyAlignment="1">
      <alignment horizontal="center" vertical="center"/>
    </xf>
    <xf numFmtId="10" fontId="7" fillId="4" borderId="1" xfId="0" applyNumberFormat="1" applyFont="1" applyFill="1" applyBorder="1" applyAlignment="1">
      <alignment horizontal="center" vertical="center"/>
    </xf>
    <xf numFmtId="3" fontId="7" fillId="4" borderId="1" xfId="0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[marketing_campaigns_dashboard.xlsx]Sheet1!PivotTable1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by Channel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Sheet1!$A$4:$A$12</c:f>
              <c:strCache>
                <c:ptCount val="8"/>
                <c:pt idx="0">
                  <c:v>Affiliate Marketing</c:v>
                </c:pt>
                <c:pt idx="1">
                  <c:v>Email Marketing</c:v>
                </c:pt>
                <c:pt idx="2">
                  <c:v>Facebook Ads</c:v>
                </c:pt>
                <c:pt idx="3">
                  <c:v>Google Search Ads</c:v>
                </c:pt>
                <c:pt idx="4">
                  <c:v>Instagram Ads</c:v>
                </c:pt>
                <c:pt idx="5">
                  <c:v>LinkedIn Ads</c:v>
                </c:pt>
                <c:pt idx="6">
                  <c:v>TikTok Ads</c:v>
                </c:pt>
                <c:pt idx="7">
                  <c:v>YouTube Ads</c:v>
                </c:pt>
              </c:strCache>
            </c:strRef>
          </c:cat>
          <c:val>
            <c:numRef>
              <c:f>Sheet1!$B$4:$B$12</c:f>
              <c:numCache>
                <c:formatCode>General</c:formatCode>
                <c:ptCount val="8"/>
                <c:pt idx="0">
                  <c:v>2181109.4099999997</c:v>
                </c:pt>
                <c:pt idx="1">
                  <c:v>3453251.9199999995</c:v>
                </c:pt>
                <c:pt idx="2">
                  <c:v>820762.00000000023</c:v>
                </c:pt>
                <c:pt idx="3">
                  <c:v>4401879.9800000004</c:v>
                </c:pt>
                <c:pt idx="4">
                  <c:v>415144.27999999991</c:v>
                </c:pt>
                <c:pt idx="5">
                  <c:v>513536.53</c:v>
                </c:pt>
                <c:pt idx="6">
                  <c:v>312618.48000000004</c:v>
                </c:pt>
                <c:pt idx="7">
                  <c:v>203135.99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79-4E1B-BD22-692F8A3D60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07142031"/>
        <c:axId val="1507150191"/>
      </c:barChart>
      <c:catAx>
        <c:axId val="1507142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150191"/>
        <c:crosses val="autoZero"/>
        <c:auto val="1"/>
        <c:lblAlgn val="ctr"/>
        <c:lblOffset val="100"/>
        <c:noMultiLvlLbl val="0"/>
      </c:catAx>
      <c:valAx>
        <c:axId val="150715019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07142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[marketing_campaigns_dashboard.xlsx]Sheet1!PivotTable2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ROAS by Channel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Sheet1!$D$4:$D$12</c:f>
              <c:strCache>
                <c:ptCount val="8"/>
                <c:pt idx="0">
                  <c:v>Affiliate Marketing</c:v>
                </c:pt>
                <c:pt idx="1">
                  <c:v>Email Marketing</c:v>
                </c:pt>
                <c:pt idx="2">
                  <c:v>Facebook Ads</c:v>
                </c:pt>
                <c:pt idx="3">
                  <c:v>Google Search Ads</c:v>
                </c:pt>
                <c:pt idx="4">
                  <c:v>Instagram Ads</c:v>
                </c:pt>
                <c:pt idx="5">
                  <c:v>LinkedIn Ads</c:v>
                </c:pt>
                <c:pt idx="6">
                  <c:v>TikTok Ads</c:v>
                </c:pt>
                <c:pt idx="7">
                  <c:v>YouTube Ads</c:v>
                </c:pt>
              </c:strCache>
            </c:strRef>
          </c:cat>
          <c:val>
            <c:numRef>
              <c:f>Sheet1!$E$4:$E$12</c:f>
              <c:numCache>
                <c:formatCode>General</c:formatCode>
                <c:ptCount val="8"/>
                <c:pt idx="0">
                  <c:v>23.067056090111198</c:v>
                </c:pt>
                <c:pt idx="1">
                  <c:v>170.61951264582262</c:v>
                </c:pt>
                <c:pt idx="2">
                  <c:v>5.3194763028653949</c:v>
                </c:pt>
                <c:pt idx="3">
                  <c:v>15.972531938859163</c:v>
                </c:pt>
                <c:pt idx="4">
                  <c:v>3.1340927784268162</c:v>
                </c:pt>
                <c:pt idx="5">
                  <c:v>1.7479997633645583</c:v>
                </c:pt>
                <c:pt idx="6">
                  <c:v>3.0806925216027432</c:v>
                </c:pt>
                <c:pt idx="7">
                  <c:v>1.215595220463382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E-488A-BE77-3AC4318F95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07151151"/>
        <c:axId val="1507165551"/>
      </c:barChart>
      <c:catAx>
        <c:axId val="1507151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165551"/>
        <c:crosses val="autoZero"/>
        <c:auto val="1"/>
        <c:lblAlgn val="ctr"/>
        <c:lblOffset val="100"/>
        <c:noMultiLvlLbl val="0"/>
      </c:catAx>
      <c:valAx>
        <c:axId val="1507165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151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[marketing_campaigns_dashboard.xlsx]Sheet1!PivotTable3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Spend vs Revenue </a:t>
            </a:r>
            <a:endParaRPr lang="en-US"/>
          </a:p>
        </c:rich>
      </c:tx>
      <c:layout>
        <c:manualLayout>
          <c:xMode val="edge"/>
          <c:yMode val="edge"/>
          <c:x val="0.31867259080094118"/>
          <c:y val="2.89855072463768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Sheet1!$H$4:$H$12</c:f>
              <c:strCache>
                <c:ptCount val="8"/>
                <c:pt idx="0">
                  <c:v>Affiliate Marketing</c:v>
                </c:pt>
                <c:pt idx="1">
                  <c:v>Email Marketing</c:v>
                </c:pt>
                <c:pt idx="2">
                  <c:v>Facebook Ads</c:v>
                </c:pt>
                <c:pt idx="3">
                  <c:v>Google Search Ads</c:v>
                </c:pt>
                <c:pt idx="4">
                  <c:v>Instagram Ads</c:v>
                </c:pt>
                <c:pt idx="5">
                  <c:v>LinkedIn Ads</c:v>
                </c:pt>
                <c:pt idx="6">
                  <c:v>TikTok Ads</c:v>
                </c:pt>
                <c:pt idx="7">
                  <c:v>YouTube Ads</c:v>
                </c:pt>
              </c:strCache>
            </c:strRef>
          </c:cat>
          <c:val>
            <c:numRef>
              <c:f>Sheet1!$I$4:$I$12</c:f>
              <c:numCache>
                <c:formatCode>General</c:formatCode>
                <c:ptCount val="8"/>
                <c:pt idx="0">
                  <c:v>2181109.4099999997</c:v>
                </c:pt>
                <c:pt idx="1">
                  <c:v>3453251.9199999995</c:v>
                </c:pt>
                <c:pt idx="2">
                  <c:v>820762.00000000023</c:v>
                </c:pt>
                <c:pt idx="3">
                  <c:v>4401879.9800000004</c:v>
                </c:pt>
                <c:pt idx="4">
                  <c:v>415144.27999999991</c:v>
                </c:pt>
                <c:pt idx="5">
                  <c:v>513536.53</c:v>
                </c:pt>
                <c:pt idx="6">
                  <c:v>312618.48000000004</c:v>
                </c:pt>
                <c:pt idx="7">
                  <c:v>203135.99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79-454E-96A7-C8FF7CFABA5A}"/>
            </c:ext>
          </c:extLst>
        </c:ser>
        <c:ser>
          <c:idx val="1"/>
          <c:order val="1"/>
          <c:tx>
            <c:strRef>
              <c:f>Sheet1!$J$3</c:f>
              <c:strCache>
                <c:ptCount val="1"/>
                <c:pt idx="0">
                  <c:v>Sum of Spend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Sheet1!$H$4:$H$12</c:f>
              <c:strCache>
                <c:ptCount val="8"/>
                <c:pt idx="0">
                  <c:v>Affiliate Marketing</c:v>
                </c:pt>
                <c:pt idx="1">
                  <c:v>Email Marketing</c:v>
                </c:pt>
                <c:pt idx="2">
                  <c:v>Facebook Ads</c:v>
                </c:pt>
                <c:pt idx="3">
                  <c:v>Google Search Ads</c:v>
                </c:pt>
                <c:pt idx="4">
                  <c:v>Instagram Ads</c:v>
                </c:pt>
                <c:pt idx="5">
                  <c:v>LinkedIn Ads</c:v>
                </c:pt>
                <c:pt idx="6">
                  <c:v>TikTok Ads</c:v>
                </c:pt>
                <c:pt idx="7">
                  <c:v>YouTube Ads</c:v>
                </c:pt>
              </c:strCache>
            </c:strRef>
          </c:cat>
          <c:val>
            <c:numRef>
              <c:f>Sheet1!$J$4:$J$12</c:f>
              <c:numCache>
                <c:formatCode>General</c:formatCode>
                <c:ptCount val="8"/>
                <c:pt idx="0">
                  <c:v>94555.17</c:v>
                </c:pt>
                <c:pt idx="1">
                  <c:v>20239.489999999994</c:v>
                </c:pt>
                <c:pt idx="2">
                  <c:v>154293.75999999995</c:v>
                </c:pt>
                <c:pt idx="3">
                  <c:v>275590.62000000011</c:v>
                </c:pt>
                <c:pt idx="4">
                  <c:v>132460.75</c:v>
                </c:pt>
                <c:pt idx="5">
                  <c:v>293785.24000000005</c:v>
                </c:pt>
                <c:pt idx="6">
                  <c:v>101476.69000000005</c:v>
                </c:pt>
                <c:pt idx="7">
                  <c:v>167108.25000000003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79-454E-96A7-C8FF7CFA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7138671"/>
        <c:axId val="1507146351"/>
      </c:barChart>
      <c:catAx>
        <c:axId val="15071386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146351"/>
        <c:crosses val="autoZero"/>
        <c:auto val="1"/>
        <c:lblAlgn val="ctr"/>
        <c:lblOffset val="100"/>
        <c:noMultiLvlLbl val="0"/>
      </c:catAx>
      <c:valAx>
        <c:axId val="150714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138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[marketing_campaigns_dashboard.xlsx]Sheet1!PivotTable5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by Campaign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Sheet1!$A$29:$A$34</c:f>
              <c:strCache>
                <c:ptCount val="5"/>
                <c:pt idx="0">
                  <c:v>Brand Awareness</c:v>
                </c:pt>
                <c:pt idx="1">
                  <c:v>Conversion</c:v>
                </c:pt>
                <c:pt idx="2">
                  <c:v>Lead Generation</c:v>
                </c:pt>
                <c:pt idx="3">
                  <c:v>Product Launch</c:v>
                </c:pt>
                <c:pt idx="4">
                  <c:v>Retargeting</c:v>
                </c:pt>
              </c:strCache>
            </c:strRef>
          </c:cat>
          <c:val>
            <c:numRef>
              <c:f>Sheet1!$B$29:$B$34</c:f>
              <c:numCache>
                <c:formatCode>General</c:formatCode>
                <c:ptCount val="5"/>
                <c:pt idx="0">
                  <c:v>2816303.9199999995</c:v>
                </c:pt>
                <c:pt idx="1">
                  <c:v>2200752.6400000006</c:v>
                </c:pt>
                <c:pt idx="2">
                  <c:v>3676561.74</c:v>
                </c:pt>
                <c:pt idx="3">
                  <c:v>2131725.96</c:v>
                </c:pt>
                <c:pt idx="4">
                  <c:v>1476094.33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9D-44F2-9993-B445DD285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5921711"/>
        <c:axId val="1505930831"/>
      </c:barChart>
      <c:catAx>
        <c:axId val="1505921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930831"/>
        <c:crosses val="autoZero"/>
        <c:auto val="1"/>
        <c:lblAlgn val="ctr"/>
        <c:lblOffset val="100"/>
        <c:noMultiLvlLbl val="0"/>
      </c:catAx>
      <c:valAx>
        <c:axId val="150593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921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[marketing_campaigns_dashboard.xlsx]Sheet1!PivotTable7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ROAS by Campaign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Sheet1!$E$28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Sheet1!$D$29:$D$34</c:f>
              <c:strCache>
                <c:ptCount val="5"/>
                <c:pt idx="0">
                  <c:v>Brand Awareness</c:v>
                </c:pt>
                <c:pt idx="1">
                  <c:v>Conversion</c:v>
                </c:pt>
                <c:pt idx="2">
                  <c:v>Lead Generation</c:v>
                </c:pt>
                <c:pt idx="3">
                  <c:v>Product Launch</c:v>
                </c:pt>
                <c:pt idx="4">
                  <c:v>Retargeting</c:v>
                </c:pt>
              </c:strCache>
            </c:strRef>
          </c:cat>
          <c:val>
            <c:numRef>
              <c:f>Sheet1!$E$29:$E$34</c:f>
              <c:numCache>
                <c:formatCode>General</c:formatCode>
                <c:ptCount val="5"/>
                <c:pt idx="0">
                  <c:v>11.375639926820842</c:v>
                </c:pt>
                <c:pt idx="1">
                  <c:v>8.3808893027801563</c:v>
                </c:pt>
                <c:pt idx="2">
                  <c:v>13.455497635894307</c:v>
                </c:pt>
                <c:pt idx="3">
                  <c:v>8.7984162795918301</c:v>
                </c:pt>
                <c:pt idx="4">
                  <c:v>6.9034068848384198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5B-4A11-B560-B51A6CFB6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7862287"/>
        <c:axId val="157862767"/>
      </c:barChart>
      <c:catAx>
        <c:axId val="157862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62767"/>
        <c:crosses val="autoZero"/>
        <c:auto val="1"/>
        <c:lblAlgn val="ctr"/>
        <c:lblOffset val="100"/>
        <c:noMultiLvlLbl val="0"/>
      </c:catAx>
      <c:valAx>
        <c:axId val="15786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62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[marketing_campaigns_dashboard.xlsx]Sheet1!PivotTable8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Spend vs Revenue by Campaign Type </a:t>
            </a:r>
            <a:endParaRPr lang="en-US"/>
          </a:p>
        </c:rich>
      </c:tx>
      <c:layout>
        <c:manualLayout>
          <c:xMode val="edge"/>
          <c:yMode val="edge"/>
          <c:x val="0.22244455856061471"/>
          <c:y val="5.6182659370968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Sheet1!$I$28</c:f>
              <c:strCache>
                <c:ptCount val="1"/>
                <c:pt idx="0">
                  <c:v>Sum of 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Sheet1!$H$29:$H$34</c:f>
              <c:strCache>
                <c:ptCount val="5"/>
                <c:pt idx="0">
                  <c:v>Brand Awareness</c:v>
                </c:pt>
                <c:pt idx="1">
                  <c:v>Conversion</c:v>
                </c:pt>
                <c:pt idx="2">
                  <c:v>Lead Generation</c:v>
                </c:pt>
                <c:pt idx="3">
                  <c:v>Product Launch</c:v>
                </c:pt>
                <c:pt idx="4">
                  <c:v>Retargeting</c:v>
                </c:pt>
              </c:strCache>
            </c:strRef>
          </c:cat>
          <c:val>
            <c:numRef>
              <c:f>Sheet1!$I$29:$I$34</c:f>
              <c:numCache>
                <c:formatCode>General</c:formatCode>
                <c:ptCount val="5"/>
                <c:pt idx="0">
                  <c:v>247573.22999999998</c:v>
                </c:pt>
                <c:pt idx="1">
                  <c:v>262591.78000000003</c:v>
                </c:pt>
                <c:pt idx="2">
                  <c:v>273238.63000000006</c:v>
                </c:pt>
                <c:pt idx="3">
                  <c:v>242285.19000000003</c:v>
                </c:pt>
                <c:pt idx="4">
                  <c:v>213821.14000000007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1-41F6-8F30-9F7FB9D1CF1A}"/>
            </c:ext>
          </c:extLst>
        </c:ser>
        <c:ser>
          <c:idx val="1"/>
          <c:order val="1"/>
          <c:tx>
            <c:strRef>
              <c:f>Sheet1!$J$28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Sheet1!$H$29:$H$34</c:f>
              <c:strCache>
                <c:ptCount val="5"/>
                <c:pt idx="0">
                  <c:v>Brand Awareness</c:v>
                </c:pt>
                <c:pt idx="1">
                  <c:v>Conversion</c:v>
                </c:pt>
                <c:pt idx="2">
                  <c:v>Lead Generation</c:v>
                </c:pt>
                <c:pt idx="3">
                  <c:v>Product Launch</c:v>
                </c:pt>
                <c:pt idx="4">
                  <c:v>Retargeting</c:v>
                </c:pt>
              </c:strCache>
            </c:strRef>
          </c:cat>
          <c:val>
            <c:numRef>
              <c:f>Sheet1!$J$29:$J$34</c:f>
              <c:numCache>
                <c:formatCode>General</c:formatCode>
                <c:ptCount val="5"/>
                <c:pt idx="0">
                  <c:v>2816303.9199999995</c:v>
                </c:pt>
                <c:pt idx="1">
                  <c:v>2200752.6400000006</c:v>
                </c:pt>
                <c:pt idx="2">
                  <c:v>3676561.74</c:v>
                </c:pt>
                <c:pt idx="3">
                  <c:v>2131725.96</c:v>
                </c:pt>
                <c:pt idx="4">
                  <c:v>1476094.33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11-41F6-8F30-9F7FB9D1C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5920751"/>
        <c:axId val="1505926991"/>
      </c:barChart>
      <c:catAx>
        <c:axId val="1505920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926991"/>
        <c:crosses val="autoZero"/>
        <c:auto val="1"/>
        <c:lblAlgn val="ctr"/>
        <c:lblOffset val="100"/>
        <c:noMultiLvlLbl val="0"/>
      </c:catAx>
      <c:valAx>
        <c:axId val="150592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920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4</xdr:col>
      <xdr:colOff>203200</xdr:colOff>
      <xdr:row>24</xdr:row>
      <xdr:rowOff>146050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D581FB2-DFF0-47C8-A4B0-B9043B2913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349250</xdr:colOff>
      <xdr:row>13</xdr:row>
      <xdr:rowOff>0</xdr:rowOff>
    </xdr:from>
    <xdr:to>
      <xdr:col>8</xdr:col>
      <xdr:colOff>311150</xdr:colOff>
      <xdr:row>24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96648FA-876E-4D05-81A1-9C3A776F41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520700</xdr:colOff>
      <xdr:row>13</xdr:row>
      <xdr:rowOff>0</xdr:rowOff>
    </xdr:from>
    <xdr:to>
      <xdr:col>12</xdr:col>
      <xdr:colOff>412750</xdr:colOff>
      <xdr:row>24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F78B223-DF7B-4254-A739-EF33CDB298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4</xdr:col>
      <xdr:colOff>209550</xdr:colOff>
      <xdr:row>40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54502F7-9303-43E1-B545-516C8F5E9B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501650</xdr:colOff>
      <xdr:row>28</xdr:row>
      <xdr:rowOff>177800</xdr:rowOff>
    </xdr:from>
    <xdr:to>
      <xdr:col>8</xdr:col>
      <xdr:colOff>438150</xdr:colOff>
      <xdr:row>40</xdr:row>
      <xdr:rowOff>107950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71EB107-16A9-4238-9420-109E5EF889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29</xdr:row>
      <xdr:rowOff>25400</xdr:rowOff>
    </xdr:from>
    <xdr:to>
      <xdr:col>15</xdr:col>
      <xdr:colOff>495300</xdr:colOff>
      <xdr:row>40</xdr:row>
      <xdr:rowOff>120650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B8E8A25-8674-4770-BB81-CFB788242F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xj" refreshedDate="46271.287786111112" createdVersion="8" refreshedVersion="8" minRefreshableVersion="3" recordCount="8" xr:uid="{8DBABC68-402A-4E0B-B690-43A6448D3803}">
  <cacheSource type="worksheet">
    <worksheetSource ref="A16:H24" sheet="Pivot Tables"/>
  </cacheSource>
  <cacheFields count="8">
    <cacheField name="Channel" numFmtId="0">
      <sharedItems count="8">
        <s v="Affiliate Marketing"/>
        <s v="Email Marketing"/>
        <s v="Facebook Ads"/>
        <s v="Google Search Ads"/>
        <s v="Instagram Ads"/>
        <s v="LinkedIn Ads"/>
        <s v="TikTok Ads"/>
        <s v="YouTube Ads"/>
      </sharedItems>
    </cacheField>
    <cacheField name="Campaigns" numFmtId="0">
      <sharedItems containsSemiMixedTypes="0" containsString="0" containsNumber="1" containsInteger="1" minValue="51" maxValue="80"/>
    </cacheField>
    <cacheField name="Spend" numFmtId="164">
      <sharedItems containsSemiMixedTypes="0" containsString="0" containsNumber="1" minValue="20239.489999999994" maxValue="293785.24000000005"/>
    </cacheField>
    <cacheField name="Revenue" numFmtId="164">
      <sharedItems containsSemiMixedTypes="0" containsString="0" containsNumber="1" minValue="203135.99" maxValue="4401879.9800000004"/>
    </cacheField>
    <cacheField name="Impressions" numFmtId="0">
      <sharedItems containsSemiMixedTypes="0" containsString="0" containsNumber="1" containsInteger="1" minValue="11948779" maxValue="18683368"/>
    </cacheField>
    <cacheField name="Clicks" numFmtId="0">
      <sharedItems containsSemiMixedTypes="0" containsString="0" containsNumber="1" containsInteger="1" minValue="115582" maxValue="836174"/>
    </cacheField>
    <cacheField name="Conversions" numFmtId="0">
      <sharedItems containsSemiMixedTypes="0" containsString="0" containsNumber="1" containsInteger="1" minValue="3024" maxValue="60144"/>
    </cacheField>
    <cacheField name="ROAS" numFmtId="166">
      <sharedItems containsSemiMixedTypes="0" containsString="0" containsNumber="1" minValue="1.215595220463382" maxValue="170.619512645822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xj" refreshedDate="46271.308759722226" createdVersion="8" refreshedVersion="8" minRefreshableVersion="3" recordCount="5" xr:uid="{A00904B2-8821-4250-B31E-79F7252D36D0}">
  <cacheSource type="worksheet">
    <worksheetSource ref="A29:H34" sheet="Pivot Tables"/>
  </cacheSource>
  <cacheFields count="8">
    <cacheField name="Campaign Type" numFmtId="0">
      <sharedItems count="5">
        <s v="Brand Awareness"/>
        <s v="Conversion"/>
        <s v="Lead Generation"/>
        <s v="Product Launch"/>
        <s v="Retargeting"/>
      </sharedItems>
    </cacheField>
    <cacheField name="Campaigns" numFmtId="0">
      <sharedItems containsSemiMixedTypes="0" containsString="0" containsNumber="1" containsInteger="1" minValue="87" maxValue="111"/>
    </cacheField>
    <cacheField name="Spend" numFmtId="164">
      <sharedItems containsSemiMixedTypes="0" containsString="0" containsNumber="1" minValue="213821.14000000007" maxValue="273238.63000000006"/>
    </cacheField>
    <cacheField name="Revenue" numFmtId="164">
      <sharedItems containsSemiMixedTypes="0" containsString="0" containsNumber="1" minValue="1476094.33" maxValue="3676561.74"/>
    </cacheField>
    <cacheField name="Impressions" numFmtId="0">
      <sharedItems containsSemiMixedTypes="0" containsString="0" containsNumber="1" containsInteger="1" minValue="21480574" maxValue="27869498"/>
    </cacheField>
    <cacheField name="Clicks" numFmtId="0">
      <sharedItems containsSemiMixedTypes="0" containsString="0" containsNumber="1" containsInteger="1" minValue="518618" maxValue="874825"/>
    </cacheField>
    <cacheField name="Conversions" numFmtId="0">
      <sharedItems containsSemiMixedTypes="0" containsString="0" containsNumber="1" containsInteger="1" minValue="23119" maxValue="51331"/>
    </cacheField>
    <cacheField name="ROAS" numFmtId="166">
      <sharedItems containsSemiMixedTypes="0" containsString="0" containsNumber="1" minValue="6.9034068848384198" maxValue="13.4554976358943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80"/>
    <n v="94555.17"/>
    <n v="2181109.4099999997"/>
    <n v="18683368"/>
    <n v="637183"/>
    <n v="30455"/>
    <n v="23.067056090111198"/>
  </r>
  <r>
    <x v="1"/>
    <n v="63"/>
    <n v="20239.489999999994"/>
    <n v="3453251.9199999995"/>
    <n v="16547252"/>
    <n v="703577"/>
    <n v="60144"/>
    <n v="170.61951264582262"/>
  </r>
  <r>
    <x v="2"/>
    <n v="66"/>
    <n v="154293.75999999995"/>
    <n v="820762.00000000023"/>
    <n v="18574031"/>
    <n v="407045"/>
    <n v="14482"/>
    <n v="5.3194763028653949"/>
  </r>
  <r>
    <x v="3"/>
    <n v="60"/>
    <n v="275590.62000000011"/>
    <n v="4401879.9800000004"/>
    <n v="16105523"/>
    <n v="836174"/>
    <n v="54996"/>
    <n v="15.972531938859163"/>
  </r>
  <r>
    <x v="4"/>
    <n v="62"/>
    <n v="132460.75"/>
    <n v="415144.27999999991"/>
    <n v="13800541"/>
    <n v="272252"/>
    <n v="8548"/>
    <n v="3.1340927784268162"/>
  </r>
  <r>
    <x v="5"/>
    <n v="51"/>
    <n v="293785.24000000005"/>
    <n v="513536.53"/>
    <n v="11948779"/>
    <n v="115582"/>
    <n v="3024"/>
    <n v="1.7479997633645583"/>
  </r>
  <r>
    <x v="6"/>
    <n v="62"/>
    <n v="101476.69000000005"/>
    <n v="312618.48000000004"/>
    <n v="16416668"/>
    <n v="409546"/>
    <n v="7829"/>
    <n v="3.0806925216027432"/>
  </r>
  <r>
    <x v="7"/>
    <n v="56"/>
    <n v="167108.25000000003"/>
    <n v="203135.99"/>
    <n v="13488407"/>
    <n v="165997"/>
    <n v="3794"/>
    <n v="1.21559522046338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11"/>
    <n v="247573.22999999998"/>
    <n v="2816303.9199999995"/>
    <n v="25557670"/>
    <n v="776009"/>
    <n v="38463"/>
    <n v="11.375639926820842"/>
  </r>
  <r>
    <x v="1"/>
    <n v="105"/>
    <n v="262591.78000000003"/>
    <n v="2200752.6400000006"/>
    <n v="27483931"/>
    <n v="726035"/>
    <n v="33456"/>
    <n v="8.3808893027801563"/>
  </r>
  <r>
    <x v="2"/>
    <n v="106"/>
    <n v="273238.63000000006"/>
    <n v="3676561.74"/>
    <n v="27869498"/>
    <n v="874825"/>
    <n v="51331"/>
    <n v="13.455497635894307"/>
  </r>
  <r>
    <x v="3"/>
    <n v="91"/>
    <n v="242285.19000000003"/>
    <n v="2131725.96"/>
    <n v="23172896"/>
    <n v="651869"/>
    <n v="36903"/>
    <n v="8.7984162795918301"/>
  </r>
  <r>
    <x v="4"/>
    <n v="87"/>
    <n v="213821.14000000007"/>
    <n v="1476094.33"/>
    <n v="21480574"/>
    <n v="518618"/>
    <n v="23119"/>
    <n v="6.90340688483841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2D45F5-204C-4424-B0FB-4DF726EEE942}" name="PivotTable8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>
  <location ref="H28:J34" firstHeaderRow="0" firstDataRow="1" firstDataCol="1"/>
  <pivotFields count="8"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numFmtId="164" showAll="0"/>
    <pivotField dataField="1" numFmtId="164" showAll="0"/>
    <pivotField showAll="0"/>
    <pivotField showAll="0"/>
    <pivotField showAll="0"/>
    <pivotField numFmtId="166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pend" fld="2" baseField="0" baseItem="0"/>
    <dataField name="Sum of Revenue" fld="3" baseField="0" baseItem="0"/>
  </dataFields>
  <chartFormats count="8"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B11E3B-35F9-4BBF-AE67-552830A68590}" name="PivotTable7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D28:E34" firstHeaderRow="1" firstDataRow="1" firstDataCol="1"/>
  <pivotFields count="8"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numFmtId="164" showAll="0"/>
    <pivotField numFmtId="164" showAll="0"/>
    <pivotField showAll="0"/>
    <pivotField showAll="0"/>
    <pivotField showAll="0"/>
    <pivotField dataField="1" numFmtId="166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OAS" fld="7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987F01-C578-40BF-9E83-AB4279C4E7CE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28:B34" firstHeaderRow="1" firstDataRow="1" firstDataCol="1"/>
  <pivotFields count="8"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numFmtId="164" showAll="0"/>
    <pivotField dataField="1" numFmtId="164" showAll="0"/>
    <pivotField showAll="0"/>
    <pivotField showAll="0"/>
    <pivotField showAll="0"/>
    <pivotField numFmtId="166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3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09C37F-A2E8-427E-9435-95E93D664664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B26" firstHeaderRow="1" firstDataRow="1" firstDataCol="1"/>
  <pivotFields count="8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numFmtId="164" showAll="0"/>
    <pivotField dataField="1" numFmtId="164" showAll="0"/>
    <pivotField showAll="0"/>
    <pivotField showAll="0"/>
    <pivotField showAll="0"/>
    <pivotField numFmtId="166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Reven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1369B8-4F9F-4B62-A92B-83F884B662BF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H3:J12" firstHeaderRow="0" firstDataRow="1" firstDataCol="1"/>
  <pivotFields count="8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numFmtId="164" showAll="0"/>
    <pivotField dataField="1" numFmtId="164" showAll="0"/>
    <pivotField showAll="0"/>
    <pivotField showAll="0"/>
    <pivotField showAll="0"/>
    <pivotField numFmtId="166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3" baseField="0" baseItem="0"/>
    <dataField name="Sum of Spend" fld="2" baseField="0" baseItem="0"/>
  </dataFields>
  <chartFormats count="2"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0D9E83-8DC4-4343-9C5D-2BBF25D66B6F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3:E12" firstHeaderRow="1" firstDataRow="1" firstDataCol="1"/>
  <pivotFields count="8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numFmtId="164" showAll="0"/>
    <pivotField numFmtId="164" showAll="0"/>
    <pivotField showAll="0"/>
    <pivotField showAll="0"/>
    <pivotField showAll="0"/>
    <pivotField dataField="1" numFmtId="166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ROAS" fld="7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ED22A9-12B6-4852-9475-25B3784CE971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12" firstHeaderRow="1" firstDataRow="1" firstDataCol="1"/>
  <pivotFields count="8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numFmtId="164" showAll="0"/>
    <pivotField dataField="1" numFmtId="164" showAll="0"/>
    <pivotField showAll="0"/>
    <pivotField showAll="0"/>
    <pivotField showAll="0"/>
    <pivotField numFmtId="166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Revenue" fld="3" baseField="0" baseItem="0"/>
  </dataFields>
  <chartFormats count="1"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1"/>
  <sheetViews>
    <sheetView tabSelected="1" workbookViewId="0">
      <pane ySplit="1" topLeftCell="A2" activePane="bottomLeft" state="frozen"/>
      <selection pane="bottomLeft" activeCell="B10" sqref="B10"/>
    </sheetView>
  </sheetViews>
  <sheetFormatPr defaultColWidth="11.90625" defaultRowHeight="14.5" x14ac:dyDescent="0.35"/>
  <cols>
    <col min="1" max="1" width="15.90625" bestFit="1" customWidth="1"/>
    <col min="2" max="2" width="27.1796875" bestFit="1" customWidth="1"/>
    <col min="3" max="3" width="16.54296875" bestFit="1" customWidth="1"/>
    <col min="4" max="4" width="18.1796875" bestFit="1" customWidth="1"/>
    <col min="5" max="5" width="14.1796875" bestFit="1" customWidth="1"/>
    <col min="6" max="6" width="13.36328125" bestFit="1" customWidth="1"/>
    <col min="7" max="7" width="10.453125" bestFit="1" customWidth="1"/>
    <col min="8" max="8" width="15.36328125" bestFit="1" customWidth="1"/>
    <col min="9" max="9" width="9.7265625" bestFit="1" customWidth="1"/>
    <col min="10" max="10" width="15.26953125" bestFit="1" customWidth="1"/>
    <col min="11" max="11" width="12.1796875" bestFit="1" customWidth="1"/>
    <col min="12" max="12" width="7.6328125" bestFit="1" customWidth="1"/>
    <col min="13" max="13" width="19" bestFit="1" customWidth="1"/>
    <col min="14" max="14" width="9" bestFit="1" customWidth="1"/>
    <col min="15" max="15" width="8.08984375" bestFit="1" customWidth="1"/>
    <col min="16" max="16" width="22.90625" bestFit="1" customWidth="1"/>
  </cols>
  <sheetData>
    <row r="1" spans="1:1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x14ac:dyDescent="0.35">
      <c r="A2" s="1">
        <v>5000</v>
      </c>
      <c r="B2" s="1" t="s">
        <v>16</v>
      </c>
      <c r="C2" s="1" t="s">
        <v>17</v>
      </c>
      <c r="D2" s="1" t="s">
        <v>18</v>
      </c>
      <c r="E2" s="5">
        <v>45658</v>
      </c>
      <c r="F2" s="5">
        <v>45701</v>
      </c>
      <c r="G2" s="2">
        <v>1954.92</v>
      </c>
      <c r="H2" s="3">
        <v>149459</v>
      </c>
      <c r="I2" s="3">
        <v>2615</v>
      </c>
      <c r="J2" s="3">
        <v>48</v>
      </c>
      <c r="K2" s="2">
        <v>3242.88</v>
      </c>
      <c r="L2" s="6">
        <f t="shared" ref="L2:L65" si="0">IFERROR(I2/H2,0)</f>
        <v>1.7496437149987623E-2</v>
      </c>
      <c r="M2" s="6">
        <f t="shared" ref="M2:M65" si="1">IFERROR(J2/I2,0)</f>
        <v>1.835564053537285E-2</v>
      </c>
      <c r="N2" s="7">
        <f t="shared" ref="N2:N65" si="2">IFERROR(K2/G2,0)</f>
        <v>1.6588300288502855</v>
      </c>
      <c r="O2" s="8">
        <f t="shared" ref="O2:O65" si="3">IFERROR(G2/I2,0)</f>
        <v>0.74757934990439778</v>
      </c>
      <c r="P2" s="8">
        <f t="shared" ref="P2:P65" si="4">IFERROR(G2/J2,0)</f>
        <v>40.727499999999999</v>
      </c>
    </row>
    <row r="3" spans="1:16" x14ac:dyDescent="0.35">
      <c r="A3" s="1">
        <v>5001</v>
      </c>
      <c r="B3" s="1" t="s">
        <v>19</v>
      </c>
      <c r="C3" s="1" t="s">
        <v>17</v>
      </c>
      <c r="D3" s="1" t="s">
        <v>20</v>
      </c>
      <c r="E3" s="5">
        <v>45564</v>
      </c>
      <c r="F3" s="5">
        <v>45567</v>
      </c>
      <c r="G3" s="2">
        <v>121.67</v>
      </c>
      <c r="H3" s="3">
        <v>9403</v>
      </c>
      <c r="I3" s="3">
        <v>140</v>
      </c>
      <c r="J3" s="3">
        <v>4</v>
      </c>
      <c r="K3" s="2">
        <v>96.64</v>
      </c>
      <c r="L3" s="6">
        <f t="shared" si="0"/>
        <v>1.4888865255769435E-2</v>
      </c>
      <c r="M3" s="6">
        <f t="shared" si="1"/>
        <v>2.8571428571428571E-2</v>
      </c>
      <c r="N3" s="7">
        <f t="shared" si="2"/>
        <v>0.79427960877784165</v>
      </c>
      <c r="O3" s="8">
        <f t="shared" si="3"/>
        <v>0.86907142857142861</v>
      </c>
      <c r="P3" s="8">
        <f t="shared" si="4"/>
        <v>30.4175</v>
      </c>
    </row>
    <row r="4" spans="1:16" x14ac:dyDescent="0.35">
      <c r="A4" s="1">
        <v>5002</v>
      </c>
      <c r="B4" s="1" t="s">
        <v>21</v>
      </c>
      <c r="C4" s="1" t="s">
        <v>22</v>
      </c>
      <c r="D4" s="1" t="s">
        <v>23</v>
      </c>
      <c r="E4" s="5">
        <v>45465</v>
      </c>
      <c r="F4" s="5">
        <v>45495</v>
      </c>
      <c r="G4" s="2">
        <v>755.21</v>
      </c>
      <c r="H4" s="3">
        <v>389285</v>
      </c>
      <c r="I4" s="3">
        <v>19786</v>
      </c>
      <c r="J4" s="3">
        <v>1596</v>
      </c>
      <c r="K4" s="2">
        <v>92791.44</v>
      </c>
      <c r="L4" s="6">
        <f t="shared" si="0"/>
        <v>5.0826515278009687E-2</v>
      </c>
      <c r="M4" s="6">
        <f t="shared" si="1"/>
        <v>8.0663095117760028E-2</v>
      </c>
      <c r="N4" s="7">
        <f t="shared" si="2"/>
        <v>122.86839422147482</v>
      </c>
      <c r="O4" s="8">
        <f t="shared" si="3"/>
        <v>3.8168907308197719E-2</v>
      </c>
      <c r="P4" s="8">
        <f t="shared" si="4"/>
        <v>0.47318922305764416</v>
      </c>
    </row>
    <row r="5" spans="1:16" x14ac:dyDescent="0.35">
      <c r="A5" s="1">
        <v>5003</v>
      </c>
      <c r="B5" s="1" t="s">
        <v>24</v>
      </c>
      <c r="C5" s="1" t="s">
        <v>25</v>
      </c>
      <c r="D5" s="1" t="s">
        <v>26</v>
      </c>
      <c r="E5" s="5">
        <v>45632</v>
      </c>
      <c r="F5" s="5">
        <v>45636</v>
      </c>
      <c r="G5" s="2">
        <v>176.31</v>
      </c>
      <c r="H5" s="3">
        <v>83166</v>
      </c>
      <c r="I5" s="3">
        <v>3404</v>
      </c>
      <c r="J5" s="3">
        <v>86</v>
      </c>
      <c r="K5" s="2">
        <v>8060.78</v>
      </c>
      <c r="L5" s="6">
        <f t="shared" si="0"/>
        <v>4.0930187817136809E-2</v>
      </c>
      <c r="M5" s="6">
        <f t="shared" si="1"/>
        <v>2.5264394829612222E-2</v>
      </c>
      <c r="N5" s="7">
        <f t="shared" si="2"/>
        <v>45.719357949066982</v>
      </c>
      <c r="O5" s="8">
        <f t="shared" si="3"/>
        <v>5.1794947121034079E-2</v>
      </c>
      <c r="P5" s="8">
        <f t="shared" si="4"/>
        <v>2.0501162790697673</v>
      </c>
    </row>
    <row r="6" spans="1:16" x14ac:dyDescent="0.35">
      <c r="A6" s="1">
        <v>5004</v>
      </c>
      <c r="B6" s="1" t="s">
        <v>16</v>
      </c>
      <c r="C6" s="1" t="s">
        <v>17</v>
      </c>
      <c r="D6" s="1" t="s">
        <v>20</v>
      </c>
      <c r="E6" s="5">
        <v>45619</v>
      </c>
      <c r="F6" s="5">
        <v>45647</v>
      </c>
      <c r="G6" s="2">
        <v>3380.84</v>
      </c>
      <c r="H6" s="3">
        <v>256124</v>
      </c>
      <c r="I6" s="3">
        <v>2465</v>
      </c>
      <c r="J6" s="3">
        <v>90</v>
      </c>
      <c r="K6" s="2">
        <v>4338</v>
      </c>
      <c r="L6" s="6">
        <f t="shared" si="0"/>
        <v>9.6242445065671308E-3</v>
      </c>
      <c r="M6" s="6">
        <f t="shared" si="1"/>
        <v>3.6511156186612576E-2</v>
      </c>
      <c r="N6" s="7">
        <f t="shared" si="2"/>
        <v>1.2831130724908602</v>
      </c>
      <c r="O6" s="8">
        <f t="shared" si="3"/>
        <v>1.3715375253549695</v>
      </c>
      <c r="P6" s="8">
        <f t="shared" si="4"/>
        <v>37.564888888888888</v>
      </c>
    </row>
    <row r="7" spans="1:16" x14ac:dyDescent="0.35">
      <c r="A7" s="1">
        <v>5005</v>
      </c>
      <c r="B7" s="1" t="s">
        <v>27</v>
      </c>
      <c r="C7" s="1" t="s">
        <v>28</v>
      </c>
      <c r="D7" s="1" t="s">
        <v>23</v>
      </c>
      <c r="E7" s="5">
        <v>45788</v>
      </c>
      <c r="F7" s="5">
        <v>45833</v>
      </c>
      <c r="G7" s="2">
        <v>3663.07</v>
      </c>
      <c r="H7" s="3">
        <v>397728</v>
      </c>
      <c r="I7" s="3">
        <v>30608</v>
      </c>
      <c r="J7" s="3">
        <v>2840</v>
      </c>
      <c r="K7" s="2">
        <v>337931.6</v>
      </c>
      <c r="L7" s="6">
        <f t="shared" si="0"/>
        <v>7.6957116421272828E-2</v>
      </c>
      <c r="M7" s="6">
        <f t="shared" si="1"/>
        <v>9.2786199686356513E-2</v>
      </c>
      <c r="N7" s="7">
        <f t="shared" si="2"/>
        <v>92.253656086288274</v>
      </c>
      <c r="O7" s="8">
        <f t="shared" si="3"/>
        <v>0.11967688186095139</v>
      </c>
      <c r="P7" s="8">
        <f t="shared" si="4"/>
        <v>1.2898133802816902</v>
      </c>
    </row>
    <row r="8" spans="1:16" x14ac:dyDescent="0.35">
      <c r="A8" s="1">
        <v>5006</v>
      </c>
      <c r="B8" s="1" t="s">
        <v>29</v>
      </c>
      <c r="C8" s="1" t="s">
        <v>25</v>
      </c>
      <c r="D8" s="1" t="s">
        <v>20</v>
      </c>
      <c r="E8" s="5">
        <v>45642</v>
      </c>
      <c r="F8" s="5">
        <v>45657</v>
      </c>
      <c r="G8" s="2">
        <v>757.98</v>
      </c>
      <c r="H8" s="3">
        <v>180903</v>
      </c>
      <c r="I8" s="3">
        <v>8558</v>
      </c>
      <c r="J8" s="3">
        <v>626</v>
      </c>
      <c r="K8" s="2">
        <v>37447.32</v>
      </c>
      <c r="L8" s="6">
        <f t="shared" si="0"/>
        <v>4.7307120390485506E-2</v>
      </c>
      <c r="M8" s="6">
        <f t="shared" si="1"/>
        <v>7.3147931759756951E-2</v>
      </c>
      <c r="N8" s="7">
        <f t="shared" si="2"/>
        <v>49.404100372041476</v>
      </c>
      <c r="O8" s="8">
        <f t="shared" si="3"/>
        <v>8.8569759289553643E-2</v>
      </c>
      <c r="P8" s="8">
        <f t="shared" si="4"/>
        <v>1.2108306709265175</v>
      </c>
    </row>
    <row r="9" spans="1:16" x14ac:dyDescent="0.35">
      <c r="A9" s="1">
        <v>5007</v>
      </c>
      <c r="B9" s="1" t="s">
        <v>30</v>
      </c>
      <c r="C9" s="1" t="s">
        <v>25</v>
      </c>
      <c r="D9" s="1" t="s">
        <v>20</v>
      </c>
      <c r="E9" s="5">
        <v>45606</v>
      </c>
      <c r="F9" s="5">
        <v>45640</v>
      </c>
      <c r="G9" s="2">
        <v>1289.52</v>
      </c>
      <c r="H9" s="3">
        <v>204686</v>
      </c>
      <c r="I9" s="3">
        <v>4973</v>
      </c>
      <c r="J9" s="3">
        <v>348</v>
      </c>
      <c r="K9" s="2">
        <v>13401.48</v>
      </c>
      <c r="L9" s="6">
        <f t="shared" si="0"/>
        <v>2.4295750564278944E-2</v>
      </c>
      <c r="M9" s="6">
        <f t="shared" si="1"/>
        <v>6.9977880554996985E-2</v>
      </c>
      <c r="N9" s="7">
        <f t="shared" si="2"/>
        <v>10.392611204168993</v>
      </c>
      <c r="O9" s="8">
        <f t="shared" si="3"/>
        <v>0.25930424291172333</v>
      </c>
      <c r="P9" s="8">
        <f t="shared" si="4"/>
        <v>3.7055172413793103</v>
      </c>
    </row>
    <row r="10" spans="1:16" x14ac:dyDescent="0.35">
      <c r="A10" s="1">
        <v>5008</v>
      </c>
      <c r="B10" s="1" t="s">
        <v>31</v>
      </c>
      <c r="C10" s="1" t="s">
        <v>25</v>
      </c>
      <c r="D10" s="1" t="s">
        <v>26</v>
      </c>
      <c r="E10" s="5">
        <v>45479</v>
      </c>
      <c r="F10" s="5">
        <v>45517</v>
      </c>
      <c r="G10" s="2">
        <v>1688.75</v>
      </c>
      <c r="H10" s="3">
        <v>316246</v>
      </c>
      <c r="I10" s="3">
        <v>13024</v>
      </c>
      <c r="J10" s="3">
        <v>433</v>
      </c>
      <c r="K10" s="2">
        <v>33237.08</v>
      </c>
      <c r="L10" s="6">
        <f t="shared" si="0"/>
        <v>4.1183129588990848E-2</v>
      </c>
      <c r="M10" s="6">
        <f t="shared" si="1"/>
        <v>3.3246314496314495E-2</v>
      </c>
      <c r="N10" s="7">
        <f t="shared" si="2"/>
        <v>19.681468541820873</v>
      </c>
      <c r="O10" s="8">
        <f t="shared" si="3"/>
        <v>0.1296644656019656</v>
      </c>
      <c r="P10" s="8">
        <f t="shared" si="4"/>
        <v>3.9001154734411085</v>
      </c>
    </row>
    <row r="11" spans="1:16" x14ac:dyDescent="0.35">
      <c r="A11" s="1">
        <v>5009</v>
      </c>
      <c r="B11" s="1" t="s">
        <v>32</v>
      </c>
      <c r="C11" s="1" t="s">
        <v>28</v>
      </c>
      <c r="D11" s="1" t="s">
        <v>23</v>
      </c>
      <c r="E11" s="5">
        <v>45531</v>
      </c>
      <c r="F11" s="5">
        <v>45574</v>
      </c>
      <c r="G11" s="2">
        <v>4392.53</v>
      </c>
      <c r="H11" s="3">
        <v>184560</v>
      </c>
      <c r="I11" s="3">
        <v>12922</v>
      </c>
      <c r="J11" s="3">
        <v>688</v>
      </c>
      <c r="K11" s="2">
        <v>67816.160000000003</v>
      </c>
      <c r="L11" s="6">
        <f t="shared" si="0"/>
        <v>7.001517121803208E-2</v>
      </c>
      <c r="M11" s="6">
        <f t="shared" si="1"/>
        <v>5.3242532115771554E-2</v>
      </c>
      <c r="N11" s="7">
        <f t="shared" si="2"/>
        <v>15.438974804952956</v>
      </c>
      <c r="O11" s="8">
        <f t="shared" si="3"/>
        <v>0.33992648196873548</v>
      </c>
      <c r="P11" s="8">
        <f t="shared" si="4"/>
        <v>6.384491279069767</v>
      </c>
    </row>
    <row r="12" spans="1:16" x14ac:dyDescent="0.35">
      <c r="A12" s="1">
        <v>5010</v>
      </c>
      <c r="B12" s="1" t="s">
        <v>33</v>
      </c>
      <c r="C12" s="1" t="s">
        <v>22</v>
      </c>
      <c r="D12" s="1" t="s">
        <v>26</v>
      </c>
      <c r="E12" s="5">
        <v>45477</v>
      </c>
      <c r="F12" s="5">
        <v>45491</v>
      </c>
      <c r="G12" s="2">
        <v>524.01</v>
      </c>
      <c r="H12" s="3">
        <v>409381</v>
      </c>
      <c r="I12" s="3">
        <v>15207</v>
      </c>
      <c r="J12" s="3">
        <v>851</v>
      </c>
      <c r="K12" s="2">
        <v>23615.25</v>
      </c>
      <c r="L12" s="6">
        <f t="shared" si="0"/>
        <v>3.7146325794308967E-2</v>
      </c>
      <c r="M12" s="6">
        <f t="shared" si="1"/>
        <v>5.5961070559610707E-2</v>
      </c>
      <c r="N12" s="7">
        <f t="shared" si="2"/>
        <v>45.066410946355987</v>
      </c>
      <c r="O12" s="8">
        <f t="shared" si="3"/>
        <v>3.4458473071611755E-2</v>
      </c>
      <c r="P12" s="8">
        <f t="shared" si="4"/>
        <v>0.61575793184488836</v>
      </c>
    </row>
    <row r="13" spans="1:16" x14ac:dyDescent="0.35">
      <c r="A13" s="1">
        <v>5011</v>
      </c>
      <c r="B13" s="1" t="s">
        <v>34</v>
      </c>
      <c r="C13" s="1" t="s">
        <v>22</v>
      </c>
      <c r="D13" s="1" t="s">
        <v>18</v>
      </c>
      <c r="E13" s="5">
        <v>45527</v>
      </c>
      <c r="F13" s="5">
        <v>45567</v>
      </c>
      <c r="G13" s="2">
        <v>8.24</v>
      </c>
      <c r="H13" s="3">
        <v>9477</v>
      </c>
      <c r="I13" s="3">
        <v>524</v>
      </c>
      <c r="J13" s="3">
        <v>46</v>
      </c>
      <c r="K13" s="2">
        <v>2445.8200000000002</v>
      </c>
      <c r="L13" s="6">
        <f t="shared" si="0"/>
        <v>5.5291758995462702E-2</v>
      </c>
      <c r="M13" s="6">
        <f t="shared" si="1"/>
        <v>8.7786259541984726E-2</v>
      </c>
      <c r="N13" s="7">
        <f t="shared" si="2"/>
        <v>296.82281553398059</v>
      </c>
      <c r="O13" s="8">
        <f t="shared" si="3"/>
        <v>1.5725190839694658E-2</v>
      </c>
      <c r="P13" s="8">
        <f t="shared" si="4"/>
        <v>0.17913043478260871</v>
      </c>
    </row>
    <row r="14" spans="1:16" x14ac:dyDescent="0.35">
      <c r="A14" s="1">
        <v>5012</v>
      </c>
      <c r="B14" s="1" t="s">
        <v>35</v>
      </c>
      <c r="C14" s="1" t="s">
        <v>22</v>
      </c>
      <c r="D14" s="1" t="s">
        <v>23</v>
      </c>
      <c r="E14" s="5">
        <v>45479</v>
      </c>
      <c r="F14" s="5">
        <v>45510</v>
      </c>
      <c r="G14" s="2">
        <v>394.51</v>
      </c>
      <c r="H14" s="3">
        <v>424199</v>
      </c>
      <c r="I14" s="3">
        <v>15397</v>
      </c>
      <c r="J14" s="3">
        <v>1757</v>
      </c>
      <c r="K14" s="2">
        <v>51497.67</v>
      </c>
      <c r="L14" s="6">
        <f t="shared" si="0"/>
        <v>3.6296643792182441E-2</v>
      </c>
      <c r="M14" s="6">
        <f t="shared" si="1"/>
        <v>0.11411313892316685</v>
      </c>
      <c r="N14" s="7">
        <f t="shared" si="2"/>
        <v>130.53577856074625</v>
      </c>
      <c r="O14" s="8">
        <f t="shared" si="3"/>
        <v>2.5622523868286028E-2</v>
      </c>
      <c r="P14" s="8">
        <f t="shared" si="4"/>
        <v>0.22453614114968695</v>
      </c>
    </row>
    <row r="15" spans="1:16" x14ac:dyDescent="0.35">
      <c r="A15" s="1">
        <v>5013</v>
      </c>
      <c r="B15" s="1" t="s">
        <v>36</v>
      </c>
      <c r="C15" s="1" t="s">
        <v>37</v>
      </c>
      <c r="D15" s="1" t="s">
        <v>38</v>
      </c>
      <c r="E15" s="5">
        <v>45658</v>
      </c>
      <c r="F15" s="5">
        <v>45676</v>
      </c>
      <c r="G15" s="2">
        <v>1404.81</v>
      </c>
      <c r="H15" s="3">
        <v>91459</v>
      </c>
      <c r="I15" s="3">
        <v>762</v>
      </c>
      <c r="J15" s="3">
        <v>27</v>
      </c>
      <c r="K15" s="2">
        <v>4931.01</v>
      </c>
      <c r="L15" s="6">
        <f t="shared" si="0"/>
        <v>8.3316021386632255E-3</v>
      </c>
      <c r="M15" s="6">
        <f t="shared" si="1"/>
        <v>3.5433070866141732E-2</v>
      </c>
      <c r="N15" s="7">
        <f t="shared" si="2"/>
        <v>3.5100903325004809</v>
      </c>
      <c r="O15" s="8">
        <f t="shared" si="3"/>
        <v>1.8435826771653543</v>
      </c>
      <c r="P15" s="8">
        <f t="shared" si="4"/>
        <v>52.03</v>
      </c>
    </row>
    <row r="16" spans="1:16" x14ac:dyDescent="0.35">
      <c r="A16" s="1">
        <v>5014</v>
      </c>
      <c r="B16" s="1" t="s">
        <v>39</v>
      </c>
      <c r="C16" s="1" t="s">
        <v>17</v>
      </c>
      <c r="D16" s="1" t="s">
        <v>18</v>
      </c>
      <c r="E16" s="5">
        <v>45573</v>
      </c>
      <c r="F16" s="5">
        <v>45584</v>
      </c>
      <c r="G16" s="2">
        <v>2441.58</v>
      </c>
      <c r="H16" s="3">
        <v>342918</v>
      </c>
      <c r="I16" s="3">
        <v>6383</v>
      </c>
      <c r="J16" s="3">
        <v>249</v>
      </c>
      <c r="K16" s="2">
        <v>5403.3</v>
      </c>
      <c r="L16" s="6">
        <f t="shared" si="0"/>
        <v>1.8613779387492053E-2</v>
      </c>
      <c r="M16" s="6">
        <f t="shared" si="1"/>
        <v>3.9009869967100111E-2</v>
      </c>
      <c r="N16" s="7">
        <f t="shared" si="2"/>
        <v>2.21303418278328</v>
      </c>
      <c r="O16" s="8">
        <f t="shared" si="3"/>
        <v>0.3825129249569168</v>
      </c>
      <c r="P16" s="8">
        <f t="shared" si="4"/>
        <v>9.8055421686746982</v>
      </c>
    </row>
    <row r="17" spans="1:16" x14ac:dyDescent="0.35">
      <c r="A17" s="1">
        <v>5015</v>
      </c>
      <c r="B17" s="1" t="s">
        <v>40</v>
      </c>
      <c r="C17" s="1" t="s">
        <v>41</v>
      </c>
      <c r="D17" s="1" t="s">
        <v>23</v>
      </c>
      <c r="E17" s="5">
        <v>45632</v>
      </c>
      <c r="F17" s="5">
        <v>45673</v>
      </c>
      <c r="G17" s="2">
        <v>2100.89</v>
      </c>
      <c r="H17" s="3">
        <v>407150</v>
      </c>
      <c r="I17" s="3">
        <v>9275</v>
      </c>
      <c r="J17" s="3">
        <v>192</v>
      </c>
      <c r="K17" s="2">
        <v>10218.24</v>
      </c>
      <c r="L17" s="6">
        <f t="shared" si="0"/>
        <v>2.2780302099963158E-2</v>
      </c>
      <c r="M17" s="6">
        <f t="shared" si="1"/>
        <v>2.0700808625336926E-2</v>
      </c>
      <c r="N17" s="7">
        <f t="shared" si="2"/>
        <v>4.8637672605419606</v>
      </c>
      <c r="O17" s="8">
        <f t="shared" si="3"/>
        <v>0.22651105121293799</v>
      </c>
      <c r="P17" s="8">
        <f t="shared" si="4"/>
        <v>10.942135416666666</v>
      </c>
    </row>
    <row r="18" spans="1:16" x14ac:dyDescent="0.35">
      <c r="A18" s="1">
        <v>5016</v>
      </c>
      <c r="B18" s="1" t="s">
        <v>42</v>
      </c>
      <c r="C18" s="1" t="s">
        <v>37</v>
      </c>
      <c r="D18" s="1" t="s">
        <v>23</v>
      </c>
      <c r="E18" s="5">
        <v>45813</v>
      </c>
      <c r="F18" s="5">
        <v>45816</v>
      </c>
      <c r="G18" s="2">
        <v>5193.33</v>
      </c>
      <c r="H18" s="3">
        <v>202469</v>
      </c>
      <c r="I18" s="3">
        <v>2336</v>
      </c>
      <c r="J18" s="3">
        <v>90</v>
      </c>
      <c r="K18" s="2">
        <v>5802.3</v>
      </c>
      <c r="L18" s="6">
        <f t="shared" si="0"/>
        <v>1.1537568714222918E-2</v>
      </c>
      <c r="M18" s="6">
        <f t="shared" si="1"/>
        <v>3.8527397260273974E-2</v>
      </c>
      <c r="N18" s="7">
        <f t="shared" si="2"/>
        <v>1.1172600239152914</v>
      </c>
      <c r="O18" s="8">
        <f t="shared" si="3"/>
        <v>2.2231720890410958</v>
      </c>
      <c r="P18" s="8">
        <f t="shared" si="4"/>
        <v>57.703666666666663</v>
      </c>
    </row>
    <row r="19" spans="1:16" x14ac:dyDescent="0.35">
      <c r="A19" s="1">
        <v>5017</v>
      </c>
      <c r="B19" s="1" t="s">
        <v>43</v>
      </c>
      <c r="C19" s="1" t="s">
        <v>22</v>
      </c>
      <c r="D19" s="1" t="s">
        <v>20</v>
      </c>
      <c r="E19" s="5">
        <v>45575</v>
      </c>
      <c r="F19" s="5">
        <v>45603</v>
      </c>
      <c r="G19" s="2">
        <v>253.49</v>
      </c>
      <c r="H19" s="3">
        <v>396074</v>
      </c>
      <c r="I19" s="3">
        <v>23110</v>
      </c>
      <c r="J19" s="3">
        <v>3017</v>
      </c>
      <c r="K19" s="2">
        <v>105655.34</v>
      </c>
      <c r="L19" s="6">
        <f t="shared" si="0"/>
        <v>5.8347682503774548E-2</v>
      </c>
      <c r="M19" s="6">
        <f t="shared" si="1"/>
        <v>0.13054954565123322</v>
      </c>
      <c r="N19" s="7">
        <f t="shared" si="2"/>
        <v>416.80279300958614</v>
      </c>
      <c r="O19" s="8">
        <f t="shared" si="3"/>
        <v>1.0968844655993078E-2</v>
      </c>
      <c r="P19" s="8">
        <f t="shared" si="4"/>
        <v>8.4020550215445813E-2</v>
      </c>
    </row>
    <row r="20" spans="1:16" x14ac:dyDescent="0.35">
      <c r="A20" s="1">
        <v>5018</v>
      </c>
      <c r="B20" s="1" t="s">
        <v>44</v>
      </c>
      <c r="C20" s="1" t="s">
        <v>28</v>
      </c>
      <c r="D20" s="1" t="s">
        <v>23</v>
      </c>
      <c r="E20" s="5">
        <v>45772</v>
      </c>
      <c r="F20" s="5">
        <v>45803</v>
      </c>
      <c r="G20" s="2">
        <v>4203.78</v>
      </c>
      <c r="H20" s="3">
        <v>414166</v>
      </c>
      <c r="I20" s="3">
        <v>11782</v>
      </c>
      <c r="J20" s="3">
        <v>1068</v>
      </c>
      <c r="K20" s="2">
        <v>95030.64</v>
      </c>
      <c r="L20" s="6">
        <f t="shared" si="0"/>
        <v>2.8447530700250623E-2</v>
      </c>
      <c r="M20" s="6">
        <f t="shared" si="1"/>
        <v>9.0646749278560521E-2</v>
      </c>
      <c r="N20" s="7">
        <f t="shared" si="2"/>
        <v>22.605997459429371</v>
      </c>
      <c r="O20" s="8">
        <f t="shared" si="3"/>
        <v>0.35679680869122388</v>
      </c>
      <c r="P20" s="8">
        <f t="shared" si="4"/>
        <v>3.9361235955056175</v>
      </c>
    </row>
    <row r="21" spans="1:16" x14ac:dyDescent="0.35">
      <c r="A21" s="1">
        <v>5019</v>
      </c>
      <c r="B21" s="1" t="s">
        <v>45</v>
      </c>
      <c r="C21" s="1" t="s">
        <v>41</v>
      </c>
      <c r="D21" s="1" t="s">
        <v>18</v>
      </c>
      <c r="E21" s="5">
        <v>45556</v>
      </c>
      <c r="F21" s="5">
        <v>45598</v>
      </c>
      <c r="G21" s="2">
        <v>731.29</v>
      </c>
      <c r="H21" s="3">
        <v>89073</v>
      </c>
      <c r="I21" s="3">
        <v>1375</v>
      </c>
      <c r="J21" s="3">
        <v>36</v>
      </c>
      <c r="K21" s="2">
        <v>866.52</v>
      </c>
      <c r="L21" s="6">
        <f t="shared" si="0"/>
        <v>1.5436776576515892E-2</v>
      </c>
      <c r="M21" s="6">
        <f t="shared" si="1"/>
        <v>2.6181818181818181E-2</v>
      </c>
      <c r="N21" s="7">
        <f t="shared" si="2"/>
        <v>1.1849197992588441</v>
      </c>
      <c r="O21" s="8">
        <f t="shared" si="3"/>
        <v>0.53184727272727272</v>
      </c>
      <c r="P21" s="8">
        <f t="shared" si="4"/>
        <v>20.313611111111111</v>
      </c>
    </row>
    <row r="22" spans="1:16" x14ac:dyDescent="0.35">
      <c r="A22" s="1">
        <v>5020</v>
      </c>
      <c r="B22" s="1" t="s">
        <v>46</v>
      </c>
      <c r="C22" s="1" t="s">
        <v>47</v>
      </c>
      <c r="D22" s="1" t="s">
        <v>20</v>
      </c>
      <c r="E22" s="5">
        <v>45702</v>
      </c>
      <c r="F22" s="5">
        <v>45708</v>
      </c>
      <c r="G22" s="2">
        <v>3324.2</v>
      </c>
      <c r="H22" s="3">
        <v>416567</v>
      </c>
      <c r="I22" s="3">
        <v>13783</v>
      </c>
      <c r="J22" s="3">
        <v>447</v>
      </c>
      <c r="K22" s="2">
        <v>36291.93</v>
      </c>
      <c r="L22" s="6">
        <f t="shared" si="0"/>
        <v>3.3087114437773513E-2</v>
      </c>
      <c r="M22" s="6">
        <f t="shared" si="1"/>
        <v>3.2431255894943042E-2</v>
      </c>
      <c r="N22" s="7">
        <f t="shared" si="2"/>
        <v>10.917492930629926</v>
      </c>
      <c r="O22" s="8">
        <f t="shared" si="3"/>
        <v>0.24118116520351157</v>
      </c>
      <c r="P22" s="8">
        <f t="shared" si="4"/>
        <v>7.4366890380313198</v>
      </c>
    </row>
    <row r="23" spans="1:16" x14ac:dyDescent="0.35">
      <c r="A23" s="1">
        <v>5021</v>
      </c>
      <c r="B23" s="1" t="s">
        <v>48</v>
      </c>
      <c r="C23" s="1" t="s">
        <v>17</v>
      </c>
      <c r="D23" s="1" t="s">
        <v>23</v>
      </c>
      <c r="E23" s="5">
        <v>45800</v>
      </c>
      <c r="F23" s="5">
        <v>45841</v>
      </c>
      <c r="G23" s="2">
        <v>2040.37</v>
      </c>
      <c r="H23" s="3">
        <v>166425</v>
      </c>
      <c r="I23" s="3">
        <v>3977</v>
      </c>
      <c r="J23" s="3">
        <v>78</v>
      </c>
      <c r="K23" s="2">
        <v>2290.86</v>
      </c>
      <c r="L23" s="6">
        <f t="shared" si="0"/>
        <v>2.3896650142706925E-2</v>
      </c>
      <c r="M23" s="6">
        <f t="shared" si="1"/>
        <v>1.9612773447322103E-2</v>
      </c>
      <c r="N23" s="7">
        <f t="shared" si="2"/>
        <v>1.1227669491317753</v>
      </c>
      <c r="O23" s="8">
        <f t="shared" si="3"/>
        <v>0.51304249434246918</v>
      </c>
      <c r="P23" s="8">
        <f t="shared" si="4"/>
        <v>26.158589743589744</v>
      </c>
    </row>
    <row r="24" spans="1:16" x14ac:dyDescent="0.35">
      <c r="A24" s="1">
        <v>5022</v>
      </c>
      <c r="B24" s="1" t="s">
        <v>42</v>
      </c>
      <c r="C24" s="1" t="s">
        <v>37</v>
      </c>
      <c r="D24" s="1" t="s">
        <v>20</v>
      </c>
      <c r="E24" s="5">
        <v>45725</v>
      </c>
      <c r="F24" s="5">
        <v>45759</v>
      </c>
      <c r="G24" s="2">
        <v>12817.86</v>
      </c>
      <c r="H24" s="3">
        <v>499138</v>
      </c>
      <c r="I24" s="3">
        <v>5142</v>
      </c>
      <c r="J24" s="3">
        <v>135</v>
      </c>
      <c r="K24" s="2">
        <v>9640.35</v>
      </c>
      <c r="L24" s="6">
        <f t="shared" si="0"/>
        <v>1.0301760234644528E-2</v>
      </c>
      <c r="M24" s="6">
        <f t="shared" si="1"/>
        <v>2.6254375729288213E-2</v>
      </c>
      <c r="N24" s="7">
        <f t="shared" si="2"/>
        <v>0.7521029251372694</v>
      </c>
      <c r="O24" s="8">
        <f t="shared" si="3"/>
        <v>2.492777129521587</v>
      </c>
      <c r="P24" s="8">
        <f t="shared" si="4"/>
        <v>94.947111111111113</v>
      </c>
    </row>
    <row r="25" spans="1:16" x14ac:dyDescent="0.35">
      <c r="A25" s="1">
        <v>5023</v>
      </c>
      <c r="B25" s="1" t="s">
        <v>49</v>
      </c>
      <c r="C25" s="1" t="s">
        <v>41</v>
      </c>
      <c r="D25" s="1" t="s">
        <v>20</v>
      </c>
      <c r="E25" s="5">
        <v>45593</v>
      </c>
      <c r="F25" s="5">
        <v>45635</v>
      </c>
      <c r="G25" s="2">
        <v>1466.06</v>
      </c>
      <c r="H25" s="3">
        <v>277663</v>
      </c>
      <c r="I25" s="3">
        <v>9089</v>
      </c>
      <c r="J25" s="3">
        <v>110</v>
      </c>
      <c r="K25" s="2">
        <v>4701.3999999999996</v>
      </c>
      <c r="L25" s="6">
        <f t="shared" si="0"/>
        <v>3.2733925658081919E-2</v>
      </c>
      <c r="M25" s="6">
        <f t="shared" si="1"/>
        <v>1.2102541533722082E-2</v>
      </c>
      <c r="N25" s="7">
        <f t="shared" si="2"/>
        <v>3.2068264600357419</v>
      </c>
      <c r="O25" s="8">
        <f t="shared" si="3"/>
        <v>0.16130047309935086</v>
      </c>
      <c r="P25" s="8">
        <f t="shared" si="4"/>
        <v>13.327818181818181</v>
      </c>
    </row>
    <row r="26" spans="1:16" x14ac:dyDescent="0.35">
      <c r="A26" s="1">
        <v>5024</v>
      </c>
      <c r="B26" s="1" t="s">
        <v>50</v>
      </c>
      <c r="C26" s="1" t="s">
        <v>22</v>
      </c>
      <c r="D26" s="1" t="s">
        <v>38</v>
      </c>
      <c r="E26" s="5">
        <v>45606</v>
      </c>
      <c r="F26" s="5">
        <v>45651</v>
      </c>
      <c r="G26" s="2">
        <v>382.43</v>
      </c>
      <c r="H26" s="3">
        <v>222344</v>
      </c>
      <c r="I26" s="3">
        <v>5403</v>
      </c>
      <c r="J26" s="3">
        <v>257</v>
      </c>
      <c r="K26" s="2">
        <v>7838.5</v>
      </c>
      <c r="L26" s="6">
        <f t="shared" si="0"/>
        <v>2.4300183499442306E-2</v>
      </c>
      <c r="M26" s="6">
        <f t="shared" si="1"/>
        <v>4.7566166944290209E-2</v>
      </c>
      <c r="N26" s="7">
        <f t="shared" si="2"/>
        <v>20.496561462228382</v>
      </c>
      <c r="O26" s="8">
        <f t="shared" si="3"/>
        <v>7.0781047566166946E-2</v>
      </c>
      <c r="P26" s="8">
        <f t="shared" si="4"/>
        <v>1.4880544747081712</v>
      </c>
    </row>
    <row r="27" spans="1:16" x14ac:dyDescent="0.35">
      <c r="A27" s="1">
        <v>5025</v>
      </c>
      <c r="B27" s="1" t="s">
        <v>51</v>
      </c>
      <c r="C27" s="1" t="s">
        <v>25</v>
      </c>
      <c r="D27" s="1" t="s">
        <v>20</v>
      </c>
      <c r="E27" s="5">
        <v>45454</v>
      </c>
      <c r="F27" s="5">
        <v>45498</v>
      </c>
      <c r="G27" s="2">
        <v>1640.36</v>
      </c>
      <c r="H27" s="3">
        <v>371963</v>
      </c>
      <c r="I27" s="3">
        <v>11342</v>
      </c>
      <c r="J27" s="3">
        <v>578</v>
      </c>
      <c r="K27" s="2">
        <v>33581.800000000003</v>
      </c>
      <c r="L27" s="6">
        <f t="shared" si="0"/>
        <v>3.049228014614357E-2</v>
      </c>
      <c r="M27" s="6">
        <f t="shared" si="1"/>
        <v>5.0961029800740611E-2</v>
      </c>
      <c r="N27" s="7">
        <f t="shared" si="2"/>
        <v>20.472213416567097</v>
      </c>
      <c r="O27" s="8">
        <f t="shared" si="3"/>
        <v>0.14462704990301534</v>
      </c>
      <c r="P27" s="8">
        <f t="shared" si="4"/>
        <v>2.8379930795847748</v>
      </c>
    </row>
    <row r="28" spans="1:16" x14ac:dyDescent="0.35">
      <c r="A28" s="1">
        <v>5026</v>
      </c>
      <c r="B28" s="1" t="s">
        <v>52</v>
      </c>
      <c r="C28" s="1" t="s">
        <v>22</v>
      </c>
      <c r="D28" s="1" t="s">
        <v>26</v>
      </c>
      <c r="E28" s="5">
        <v>45782</v>
      </c>
      <c r="F28" s="5">
        <v>45812</v>
      </c>
      <c r="G28" s="2">
        <v>38.229999999999997</v>
      </c>
      <c r="H28" s="3">
        <v>24041</v>
      </c>
      <c r="I28" s="3">
        <v>718</v>
      </c>
      <c r="J28" s="3">
        <v>79</v>
      </c>
      <c r="K28" s="2">
        <v>6817.7</v>
      </c>
      <c r="L28" s="6">
        <f t="shared" si="0"/>
        <v>2.9865646187762572E-2</v>
      </c>
      <c r="M28" s="6">
        <f t="shared" si="1"/>
        <v>0.11002785515320335</v>
      </c>
      <c r="N28" s="7">
        <f t="shared" si="2"/>
        <v>178.33376929113263</v>
      </c>
      <c r="O28" s="8">
        <f t="shared" si="3"/>
        <v>5.3245125348189412E-2</v>
      </c>
      <c r="P28" s="8">
        <f t="shared" si="4"/>
        <v>0.48392405063291133</v>
      </c>
    </row>
    <row r="29" spans="1:16" x14ac:dyDescent="0.35">
      <c r="A29" s="1">
        <v>5027</v>
      </c>
      <c r="B29" s="1" t="s">
        <v>30</v>
      </c>
      <c r="C29" s="1" t="s">
        <v>25</v>
      </c>
      <c r="D29" s="1" t="s">
        <v>23</v>
      </c>
      <c r="E29" s="5">
        <v>45641</v>
      </c>
      <c r="F29" s="5">
        <v>45664</v>
      </c>
      <c r="G29" s="2">
        <v>571.02</v>
      </c>
      <c r="H29" s="3">
        <v>257215</v>
      </c>
      <c r="I29" s="3">
        <v>5908</v>
      </c>
      <c r="J29" s="3">
        <v>442</v>
      </c>
      <c r="K29" s="2">
        <v>35634.04</v>
      </c>
      <c r="L29" s="6">
        <f t="shared" si="0"/>
        <v>2.2969111443733842E-2</v>
      </c>
      <c r="M29" s="6">
        <f t="shared" si="1"/>
        <v>7.4813811780636424E-2</v>
      </c>
      <c r="N29" s="7">
        <f t="shared" si="2"/>
        <v>62.40418899513152</v>
      </c>
      <c r="O29" s="8">
        <f t="shared" si="3"/>
        <v>9.665199729180772E-2</v>
      </c>
      <c r="P29" s="8">
        <f t="shared" si="4"/>
        <v>1.2919004524886877</v>
      </c>
    </row>
    <row r="30" spans="1:16" x14ac:dyDescent="0.35">
      <c r="A30" s="1">
        <v>5028</v>
      </c>
      <c r="B30" s="1" t="s">
        <v>53</v>
      </c>
      <c r="C30" s="1" t="s">
        <v>17</v>
      </c>
      <c r="D30" s="1" t="s">
        <v>18</v>
      </c>
      <c r="E30" s="5">
        <v>45811</v>
      </c>
      <c r="F30" s="5">
        <v>45852</v>
      </c>
      <c r="G30" s="2">
        <v>5251.36</v>
      </c>
      <c r="H30" s="3">
        <v>468871</v>
      </c>
      <c r="I30" s="3">
        <v>5242</v>
      </c>
      <c r="J30" s="3">
        <v>146</v>
      </c>
      <c r="K30" s="2">
        <v>8462.16</v>
      </c>
      <c r="L30" s="6">
        <f t="shared" si="0"/>
        <v>1.1180047390433616E-2</v>
      </c>
      <c r="M30" s="6">
        <f t="shared" si="1"/>
        <v>2.7851964898893553E-2</v>
      </c>
      <c r="N30" s="7">
        <f t="shared" si="2"/>
        <v>1.6114225648213034</v>
      </c>
      <c r="O30" s="8">
        <f t="shared" si="3"/>
        <v>1.0017855780236551</v>
      </c>
      <c r="P30" s="8">
        <f t="shared" si="4"/>
        <v>35.968219178082187</v>
      </c>
    </row>
    <row r="31" spans="1:16" x14ac:dyDescent="0.35">
      <c r="A31" s="1">
        <v>5029</v>
      </c>
      <c r="B31" s="1" t="s">
        <v>54</v>
      </c>
      <c r="C31" s="1" t="s">
        <v>37</v>
      </c>
      <c r="D31" s="1" t="s">
        <v>23</v>
      </c>
      <c r="E31" s="5">
        <v>45699</v>
      </c>
      <c r="F31" s="5">
        <v>45726</v>
      </c>
      <c r="G31" s="2">
        <v>5643.61</v>
      </c>
      <c r="H31" s="3">
        <v>162406</v>
      </c>
      <c r="I31" s="3">
        <v>1747</v>
      </c>
      <c r="J31" s="3">
        <v>60</v>
      </c>
      <c r="K31" s="2">
        <v>14586</v>
      </c>
      <c r="L31" s="6">
        <f t="shared" si="0"/>
        <v>1.0756991736758495E-2</v>
      </c>
      <c r="M31" s="6">
        <f t="shared" si="1"/>
        <v>3.4344590726960507E-2</v>
      </c>
      <c r="N31" s="7">
        <f t="shared" si="2"/>
        <v>2.5845159392658248</v>
      </c>
      <c r="O31" s="8">
        <f t="shared" si="3"/>
        <v>3.2304579278763592</v>
      </c>
      <c r="P31" s="8">
        <f t="shared" si="4"/>
        <v>94.06016666666666</v>
      </c>
    </row>
    <row r="32" spans="1:16" x14ac:dyDescent="0.35">
      <c r="A32" s="1">
        <v>5030</v>
      </c>
      <c r="B32" s="1" t="s">
        <v>55</v>
      </c>
      <c r="C32" s="1" t="s">
        <v>47</v>
      </c>
      <c r="D32" s="1" t="s">
        <v>23</v>
      </c>
      <c r="E32" s="5">
        <v>45547</v>
      </c>
      <c r="F32" s="5">
        <v>45569</v>
      </c>
      <c r="G32" s="2">
        <v>2213.2800000000002</v>
      </c>
      <c r="H32" s="3">
        <v>461099</v>
      </c>
      <c r="I32" s="3">
        <v>8559</v>
      </c>
      <c r="J32" s="3">
        <v>184</v>
      </c>
      <c r="K32" s="2">
        <v>11216.64</v>
      </c>
      <c r="L32" s="6">
        <f t="shared" si="0"/>
        <v>1.8562174283613713E-2</v>
      </c>
      <c r="M32" s="6">
        <f t="shared" si="1"/>
        <v>2.1497838532538848E-2</v>
      </c>
      <c r="N32" s="7">
        <f t="shared" si="2"/>
        <v>5.0678811537627402</v>
      </c>
      <c r="O32" s="8">
        <f t="shared" si="3"/>
        <v>0.2585909568874869</v>
      </c>
      <c r="P32" s="8">
        <f t="shared" si="4"/>
        <v>12.028695652173914</v>
      </c>
    </row>
    <row r="33" spans="1:16" x14ac:dyDescent="0.35">
      <c r="A33" s="1">
        <v>5031</v>
      </c>
      <c r="B33" s="1" t="s">
        <v>56</v>
      </c>
      <c r="C33" s="1" t="s">
        <v>37</v>
      </c>
      <c r="D33" s="1" t="s">
        <v>20</v>
      </c>
      <c r="E33" s="5">
        <v>45824</v>
      </c>
      <c r="F33" s="5">
        <v>45856</v>
      </c>
      <c r="G33" s="2">
        <v>1621.73</v>
      </c>
      <c r="H33" s="3">
        <v>58737</v>
      </c>
      <c r="I33" s="3">
        <v>875</v>
      </c>
      <c r="J33" s="3">
        <v>13</v>
      </c>
      <c r="K33" s="2">
        <v>1850.16</v>
      </c>
      <c r="L33" s="6">
        <f t="shared" si="0"/>
        <v>1.4896913359551902E-2</v>
      </c>
      <c r="M33" s="6">
        <f t="shared" si="1"/>
        <v>1.4857142857142857E-2</v>
      </c>
      <c r="N33" s="7">
        <f t="shared" si="2"/>
        <v>1.1408557528071874</v>
      </c>
      <c r="O33" s="8">
        <f t="shared" si="3"/>
        <v>1.8534057142857143</v>
      </c>
      <c r="P33" s="8">
        <f t="shared" si="4"/>
        <v>124.74846153846154</v>
      </c>
    </row>
    <row r="34" spans="1:16" x14ac:dyDescent="0.35">
      <c r="A34" s="1">
        <v>5032</v>
      </c>
      <c r="B34" s="1" t="s">
        <v>57</v>
      </c>
      <c r="C34" s="1" t="s">
        <v>41</v>
      </c>
      <c r="D34" s="1" t="s">
        <v>20</v>
      </c>
      <c r="E34" s="5">
        <v>45540</v>
      </c>
      <c r="F34" s="5">
        <v>45559</v>
      </c>
      <c r="G34" s="2">
        <v>401.3</v>
      </c>
      <c r="H34" s="3">
        <v>44989</v>
      </c>
      <c r="I34" s="3">
        <v>1733</v>
      </c>
      <c r="J34" s="3">
        <v>26</v>
      </c>
      <c r="K34" s="2">
        <v>687.44</v>
      </c>
      <c r="L34" s="6">
        <f t="shared" si="0"/>
        <v>3.8520527239991997E-2</v>
      </c>
      <c r="M34" s="6">
        <f t="shared" si="1"/>
        <v>1.5002885170225043E-2</v>
      </c>
      <c r="N34" s="7">
        <f t="shared" si="2"/>
        <v>1.7130326439073014</v>
      </c>
      <c r="O34" s="8">
        <f t="shared" si="3"/>
        <v>0.23156376226197345</v>
      </c>
      <c r="P34" s="8">
        <f t="shared" si="4"/>
        <v>15.434615384615386</v>
      </c>
    </row>
    <row r="35" spans="1:16" x14ac:dyDescent="0.35">
      <c r="A35" s="1">
        <v>5033</v>
      </c>
      <c r="B35" s="1" t="s">
        <v>58</v>
      </c>
      <c r="C35" s="1" t="s">
        <v>17</v>
      </c>
      <c r="D35" s="1" t="s">
        <v>20</v>
      </c>
      <c r="E35" s="5">
        <v>45566</v>
      </c>
      <c r="F35" s="5">
        <v>45607</v>
      </c>
      <c r="G35" s="2">
        <v>3508.24</v>
      </c>
      <c r="H35" s="3">
        <v>362796</v>
      </c>
      <c r="I35" s="3">
        <v>4592</v>
      </c>
      <c r="J35" s="3">
        <v>115</v>
      </c>
      <c r="K35" s="2">
        <v>8790.6</v>
      </c>
      <c r="L35" s="6">
        <f t="shared" si="0"/>
        <v>1.265725090684572E-2</v>
      </c>
      <c r="M35" s="6">
        <f t="shared" si="1"/>
        <v>2.504355400696864E-2</v>
      </c>
      <c r="N35" s="7">
        <f t="shared" si="2"/>
        <v>2.5057008642510206</v>
      </c>
      <c r="O35" s="8">
        <f t="shared" si="3"/>
        <v>0.76398954703832744</v>
      </c>
      <c r="P35" s="8">
        <f t="shared" si="4"/>
        <v>30.506434782608693</v>
      </c>
    </row>
    <row r="36" spans="1:16" x14ac:dyDescent="0.35">
      <c r="A36" s="1">
        <v>5034</v>
      </c>
      <c r="B36" s="1" t="s">
        <v>59</v>
      </c>
      <c r="C36" s="1" t="s">
        <v>60</v>
      </c>
      <c r="D36" s="1" t="s">
        <v>18</v>
      </c>
      <c r="E36" s="5">
        <v>45784</v>
      </c>
      <c r="F36" s="5">
        <v>45804</v>
      </c>
      <c r="G36" s="2">
        <v>2916.26</v>
      </c>
      <c r="H36" s="3">
        <v>353058</v>
      </c>
      <c r="I36" s="3">
        <v>2688</v>
      </c>
      <c r="J36" s="3">
        <v>52</v>
      </c>
      <c r="K36" s="2">
        <v>2031.64</v>
      </c>
      <c r="L36" s="6">
        <f t="shared" si="0"/>
        <v>7.6134799381404753E-3</v>
      </c>
      <c r="M36" s="6">
        <f t="shared" si="1"/>
        <v>1.9345238095238096E-2</v>
      </c>
      <c r="N36" s="7">
        <f t="shared" si="2"/>
        <v>0.69665941994198044</v>
      </c>
      <c r="O36" s="8">
        <f t="shared" si="3"/>
        <v>1.0849181547619049</v>
      </c>
      <c r="P36" s="8">
        <f t="shared" si="4"/>
        <v>56.081923076923083</v>
      </c>
    </row>
    <row r="37" spans="1:16" x14ac:dyDescent="0.35">
      <c r="A37" s="1">
        <v>5035</v>
      </c>
      <c r="B37" s="1" t="s">
        <v>61</v>
      </c>
      <c r="C37" s="1" t="s">
        <v>22</v>
      </c>
      <c r="D37" s="1" t="s">
        <v>26</v>
      </c>
      <c r="E37" s="5">
        <v>45766</v>
      </c>
      <c r="F37" s="5">
        <v>45792</v>
      </c>
      <c r="G37" s="2">
        <v>13.87</v>
      </c>
      <c r="H37" s="3">
        <v>11955</v>
      </c>
      <c r="I37" s="3">
        <v>274</v>
      </c>
      <c r="J37" s="3">
        <v>26</v>
      </c>
      <c r="K37" s="2">
        <v>1426.36</v>
      </c>
      <c r="L37" s="6">
        <f t="shared" si="0"/>
        <v>2.2919280635717274E-2</v>
      </c>
      <c r="M37" s="6">
        <f t="shared" si="1"/>
        <v>9.4890510948905105E-2</v>
      </c>
      <c r="N37" s="7">
        <f t="shared" si="2"/>
        <v>102.83777937995674</v>
      </c>
      <c r="O37" s="8">
        <f t="shared" si="3"/>
        <v>5.0620437956204377E-2</v>
      </c>
      <c r="P37" s="8">
        <f t="shared" si="4"/>
        <v>0.53346153846153843</v>
      </c>
    </row>
    <row r="38" spans="1:16" x14ac:dyDescent="0.35">
      <c r="A38" s="1">
        <v>5036</v>
      </c>
      <c r="B38" s="1" t="s">
        <v>62</v>
      </c>
      <c r="C38" s="1" t="s">
        <v>25</v>
      </c>
      <c r="D38" s="1" t="s">
        <v>23</v>
      </c>
      <c r="E38" s="5">
        <v>45722</v>
      </c>
      <c r="F38" s="5">
        <v>45734</v>
      </c>
      <c r="G38" s="2">
        <v>104.14</v>
      </c>
      <c r="H38" s="3">
        <v>51555</v>
      </c>
      <c r="I38" s="3">
        <v>2528</v>
      </c>
      <c r="J38" s="3">
        <v>79</v>
      </c>
      <c r="K38" s="2">
        <v>4463.5</v>
      </c>
      <c r="L38" s="6">
        <f t="shared" si="0"/>
        <v>4.9035011153137423E-2</v>
      </c>
      <c r="M38" s="6">
        <f t="shared" si="1"/>
        <v>3.125E-2</v>
      </c>
      <c r="N38" s="7">
        <f t="shared" si="2"/>
        <v>42.86057230651047</v>
      </c>
      <c r="O38" s="8">
        <f t="shared" si="3"/>
        <v>4.119462025316456E-2</v>
      </c>
      <c r="P38" s="8">
        <f t="shared" si="4"/>
        <v>1.3182278481012659</v>
      </c>
    </row>
    <row r="39" spans="1:16" x14ac:dyDescent="0.35">
      <c r="A39" s="1">
        <v>5037</v>
      </c>
      <c r="B39" s="1" t="s">
        <v>63</v>
      </c>
      <c r="C39" s="1" t="s">
        <v>17</v>
      </c>
      <c r="D39" s="1" t="s">
        <v>23</v>
      </c>
      <c r="E39" s="5">
        <v>45665</v>
      </c>
      <c r="F39" s="5">
        <v>45701</v>
      </c>
      <c r="G39" s="2">
        <v>4658.46</v>
      </c>
      <c r="H39" s="3">
        <v>442819</v>
      </c>
      <c r="I39" s="3">
        <v>3179</v>
      </c>
      <c r="J39" s="3">
        <v>55</v>
      </c>
      <c r="K39" s="2">
        <v>2429.9</v>
      </c>
      <c r="L39" s="6">
        <f t="shared" si="0"/>
        <v>7.1790054175633836E-3</v>
      </c>
      <c r="M39" s="6">
        <f t="shared" si="1"/>
        <v>1.7301038062283738E-2</v>
      </c>
      <c r="N39" s="7">
        <f t="shared" si="2"/>
        <v>0.52161014584218823</v>
      </c>
      <c r="O39" s="8">
        <f t="shared" si="3"/>
        <v>1.4653853413022964</v>
      </c>
      <c r="P39" s="8">
        <f t="shared" si="4"/>
        <v>84.699272727272728</v>
      </c>
    </row>
    <row r="40" spans="1:16" x14ac:dyDescent="0.35">
      <c r="A40" s="1">
        <v>5038</v>
      </c>
      <c r="B40" s="1" t="s">
        <v>64</v>
      </c>
      <c r="C40" s="1" t="s">
        <v>22</v>
      </c>
      <c r="D40" s="1" t="s">
        <v>20</v>
      </c>
      <c r="E40" s="5">
        <v>45743</v>
      </c>
      <c r="F40" s="5">
        <v>45775</v>
      </c>
      <c r="G40" s="2">
        <v>535.02</v>
      </c>
      <c r="H40" s="3">
        <v>465237</v>
      </c>
      <c r="I40" s="3">
        <v>24037</v>
      </c>
      <c r="J40" s="3">
        <v>2544</v>
      </c>
      <c r="K40" s="2">
        <v>77541.119999999995</v>
      </c>
      <c r="L40" s="6">
        <f t="shared" si="0"/>
        <v>5.1666140053349151E-2</v>
      </c>
      <c r="M40" s="6">
        <f t="shared" si="1"/>
        <v>0.10583683487956068</v>
      </c>
      <c r="N40" s="7">
        <f t="shared" si="2"/>
        <v>144.93125490635865</v>
      </c>
      <c r="O40" s="8">
        <f t="shared" si="3"/>
        <v>2.2258185297666096E-2</v>
      </c>
      <c r="P40" s="8">
        <f t="shared" si="4"/>
        <v>0.2103066037735849</v>
      </c>
    </row>
    <row r="41" spans="1:16" x14ac:dyDescent="0.35">
      <c r="A41" s="1">
        <v>5039</v>
      </c>
      <c r="B41" s="1" t="s">
        <v>52</v>
      </c>
      <c r="C41" s="1" t="s">
        <v>22</v>
      </c>
      <c r="D41" s="1" t="s">
        <v>23</v>
      </c>
      <c r="E41" s="5">
        <v>45698</v>
      </c>
      <c r="F41" s="5">
        <v>45734</v>
      </c>
      <c r="G41" s="2">
        <v>483.19</v>
      </c>
      <c r="H41" s="3">
        <v>319991</v>
      </c>
      <c r="I41" s="3">
        <v>13254</v>
      </c>
      <c r="J41" s="3">
        <v>1181</v>
      </c>
      <c r="K41" s="2">
        <v>89685.14</v>
      </c>
      <c r="L41" s="6">
        <f t="shared" si="0"/>
        <v>4.1419914935107549E-2</v>
      </c>
      <c r="M41" s="6">
        <f t="shared" si="1"/>
        <v>8.9105175795986119E-2</v>
      </c>
      <c r="N41" s="7">
        <f t="shared" si="2"/>
        <v>185.61050518429604</v>
      </c>
      <c r="O41" s="8">
        <f t="shared" si="3"/>
        <v>3.6456164176852268E-2</v>
      </c>
      <c r="P41" s="8">
        <f t="shared" si="4"/>
        <v>0.40913632514817949</v>
      </c>
    </row>
    <row r="42" spans="1:16" x14ac:dyDescent="0.35">
      <c r="A42" s="1">
        <v>5040</v>
      </c>
      <c r="B42" s="1" t="s">
        <v>65</v>
      </c>
      <c r="C42" s="1" t="s">
        <v>17</v>
      </c>
      <c r="D42" s="1" t="s">
        <v>38</v>
      </c>
      <c r="E42" s="5">
        <v>45624</v>
      </c>
      <c r="F42" s="5">
        <v>45645</v>
      </c>
      <c r="G42" s="2">
        <v>1848.14</v>
      </c>
      <c r="H42" s="3">
        <v>158231</v>
      </c>
      <c r="I42" s="3">
        <v>3379</v>
      </c>
      <c r="J42" s="3">
        <v>35</v>
      </c>
      <c r="K42" s="2">
        <v>2394.6999999999998</v>
      </c>
      <c r="L42" s="6">
        <f t="shared" si="0"/>
        <v>2.1354854611296142E-2</v>
      </c>
      <c r="M42" s="6">
        <f t="shared" si="1"/>
        <v>1.0358094110683634E-2</v>
      </c>
      <c r="N42" s="7">
        <f t="shared" si="2"/>
        <v>1.2957351715779106</v>
      </c>
      <c r="O42" s="8">
        <f t="shared" si="3"/>
        <v>0.5469488014205387</v>
      </c>
      <c r="P42" s="8">
        <f t="shared" si="4"/>
        <v>52.804000000000002</v>
      </c>
    </row>
    <row r="43" spans="1:16" x14ac:dyDescent="0.35">
      <c r="A43" s="1">
        <v>5041</v>
      </c>
      <c r="B43" s="1" t="s">
        <v>66</v>
      </c>
      <c r="C43" s="1" t="s">
        <v>17</v>
      </c>
      <c r="D43" s="1" t="s">
        <v>20</v>
      </c>
      <c r="E43" s="5">
        <v>45791</v>
      </c>
      <c r="F43" s="5">
        <v>45806</v>
      </c>
      <c r="G43" s="2">
        <v>1898.89</v>
      </c>
      <c r="H43" s="3">
        <v>190843</v>
      </c>
      <c r="I43" s="3">
        <v>2381</v>
      </c>
      <c r="J43" s="3">
        <v>29</v>
      </c>
      <c r="K43" s="2">
        <v>644.66999999999996</v>
      </c>
      <c r="L43" s="6">
        <f t="shared" si="0"/>
        <v>1.2476223911801847E-2</v>
      </c>
      <c r="M43" s="6">
        <f t="shared" si="1"/>
        <v>1.2179756404871903E-2</v>
      </c>
      <c r="N43" s="7">
        <f t="shared" si="2"/>
        <v>0.33949833850302014</v>
      </c>
      <c r="O43" s="8">
        <f t="shared" si="3"/>
        <v>0.7975178496430072</v>
      </c>
      <c r="P43" s="8">
        <f t="shared" si="4"/>
        <v>65.478965517241377</v>
      </c>
    </row>
    <row r="44" spans="1:16" x14ac:dyDescent="0.35">
      <c r="A44" s="1">
        <v>5042</v>
      </c>
      <c r="B44" s="1" t="s">
        <v>67</v>
      </c>
      <c r="C44" s="1" t="s">
        <v>60</v>
      </c>
      <c r="D44" s="1" t="s">
        <v>23</v>
      </c>
      <c r="E44" s="5">
        <v>45497</v>
      </c>
      <c r="F44" s="5">
        <v>45514</v>
      </c>
      <c r="G44" s="2">
        <v>4077.14</v>
      </c>
      <c r="H44" s="3">
        <v>490041</v>
      </c>
      <c r="I44" s="3">
        <v>5086</v>
      </c>
      <c r="J44" s="3">
        <v>82</v>
      </c>
      <c r="K44" s="2">
        <v>2782.26</v>
      </c>
      <c r="L44" s="6">
        <f t="shared" si="0"/>
        <v>1.0378723412938917E-2</v>
      </c>
      <c r="M44" s="6">
        <f t="shared" si="1"/>
        <v>1.6122689736531654E-2</v>
      </c>
      <c r="N44" s="7">
        <f t="shared" si="2"/>
        <v>0.68240482298866367</v>
      </c>
      <c r="O44" s="8">
        <f t="shared" si="3"/>
        <v>0.80163979551710574</v>
      </c>
      <c r="P44" s="8">
        <f t="shared" si="4"/>
        <v>49.72121951219512</v>
      </c>
    </row>
    <row r="45" spans="1:16" x14ac:dyDescent="0.35">
      <c r="A45" s="1">
        <v>5043</v>
      </c>
      <c r="B45" s="1" t="s">
        <v>68</v>
      </c>
      <c r="C45" s="1" t="s">
        <v>60</v>
      </c>
      <c r="D45" s="1" t="s">
        <v>26</v>
      </c>
      <c r="E45" s="5">
        <v>45556</v>
      </c>
      <c r="F45" s="5">
        <v>45572</v>
      </c>
      <c r="G45" s="2">
        <v>3596.18</v>
      </c>
      <c r="H45" s="3">
        <v>265597</v>
      </c>
      <c r="I45" s="3">
        <v>1489</v>
      </c>
      <c r="J45" s="3">
        <v>28</v>
      </c>
      <c r="K45" s="2">
        <v>1603.84</v>
      </c>
      <c r="L45" s="6">
        <f t="shared" si="0"/>
        <v>5.6062380222668181E-3</v>
      </c>
      <c r="M45" s="6">
        <f t="shared" si="1"/>
        <v>1.880456682337139E-2</v>
      </c>
      <c r="N45" s="7">
        <f t="shared" si="2"/>
        <v>0.44598435006034182</v>
      </c>
      <c r="O45" s="8">
        <f t="shared" si="3"/>
        <v>2.4151645399597044</v>
      </c>
      <c r="P45" s="8">
        <f t="shared" si="4"/>
        <v>128.435</v>
      </c>
    </row>
    <row r="46" spans="1:16" x14ac:dyDescent="0.35">
      <c r="A46" s="1">
        <v>5044</v>
      </c>
      <c r="B46" s="1" t="s">
        <v>16</v>
      </c>
      <c r="C46" s="1" t="s">
        <v>17</v>
      </c>
      <c r="D46" s="1" t="s">
        <v>26</v>
      </c>
      <c r="E46" s="5">
        <v>45632</v>
      </c>
      <c r="F46" s="5">
        <v>45666</v>
      </c>
      <c r="G46" s="2">
        <v>3555.3</v>
      </c>
      <c r="H46" s="3">
        <v>252866</v>
      </c>
      <c r="I46" s="3">
        <v>2500</v>
      </c>
      <c r="J46" s="3">
        <v>110</v>
      </c>
      <c r="K46" s="2">
        <v>7524</v>
      </c>
      <c r="L46" s="6">
        <f t="shared" si="0"/>
        <v>9.8866593373565445E-3</v>
      </c>
      <c r="M46" s="6">
        <f t="shared" si="1"/>
        <v>4.3999999999999997E-2</v>
      </c>
      <c r="N46" s="7">
        <f t="shared" si="2"/>
        <v>2.1162771074170954</v>
      </c>
      <c r="O46" s="8">
        <f t="shared" si="3"/>
        <v>1.4221200000000001</v>
      </c>
      <c r="P46" s="8">
        <f t="shared" si="4"/>
        <v>32.32090909090909</v>
      </c>
    </row>
    <row r="47" spans="1:16" x14ac:dyDescent="0.35">
      <c r="A47" s="1">
        <v>5045</v>
      </c>
      <c r="B47" s="1" t="s">
        <v>69</v>
      </c>
      <c r="C47" s="1" t="s">
        <v>47</v>
      </c>
      <c r="D47" s="1" t="s">
        <v>23</v>
      </c>
      <c r="E47" s="5">
        <v>45775</v>
      </c>
      <c r="F47" s="5">
        <v>45817</v>
      </c>
      <c r="G47" s="2">
        <v>1717.63</v>
      </c>
      <c r="H47" s="3">
        <v>281579</v>
      </c>
      <c r="I47" s="3">
        <v>6841</v>
      </c>
      <c r="J47" s="3">
        <v>137</v>
      </c>
      <c r="K47" s="2">
        <v>6189.66</v>
      </c>
      <c r="L47" s="6">
        <f t="shared" si="0"/>
        <v>2.4295135645769038E-2</v>
      </c>
      <c r="M47" s="6">
        <f t="shared" si="1"/>
        <v>2.0026311942698435E-2</v>
      </c>
      <c r="N47" s="7">
        <f t="shared" si="2"/>
        <v>3.6036049673096064</v>
      </c>
      <c r="O47" s="8">
        <f t="shared" si="3"/>
        <v>0.2510787896506359</v>
      </c>
      <c r="P47" s="8">
        <f t="shared" si="4"/>
        <v>12.537445255474454</v>
      </c>
    </row>
    <row r="48" spans="1:16" x14ac:dyDescent="0.35">
      <c r="A48" s="1">
        <v>5046</v>
      </c>
      <c r="B48" s="1" t="s">
        <v>62</v>
      </c>
      <c r="C48" s="1" t="s">
        <v>25</v>
      </c>
      <c r="D48" s="1" t="s">
        <v>38</v>
      </c>
      <c r="E48" s="5">
        <v>45624</v>
      </c>
      <c r="F48" s="5">
        <v>45638</v>
      </c>
      <c r="G48" s="2">
        <v>2100.81</v>
      </c>
      <c r="H48" s="3">
        <v>323700</v>
      </c>
      <c r="I48" s="3">
        <v>7859</v>
      </c>
      <c r="J48" s="3">
        <v>168</v>
      </c>
      <c r="K48" s="2">
        <v>9570.9599999999991</v>
      </c>
      <c r="L48" s="6">
        <f t="shared" si="0"/>
        <v>2.4278653073833797E-2</v>
      </c>
      <c r="M48" s="6">
        <f t="shared" si="1"/>
        <v>2.1376765491792848E-2</v>
      </c>
      <c r="N48" s="7">
        <f t="shared" si="2"/>
        <v>4.5558427463692572</v>
      </c>
      <c r="O48" s="8">
        <f t="shared" si="3"/>
        <v>0.26731263519531745</v>
      </c>
      <c r="P48" s="8">
        <f t="shared" si="4"/>
        <v>12.504821428571429</v>
      </c>
    </row>
    <row r="49" spans="1:16" x14ac:dyDescent="0.35">
      <c r="A49" s="1">
        <v>5047</v>
      </c>
      <c r="B49" s="1" t="s">
        <v>19</v>
      </c>
      <c r="C49" s="1" t="s">
        <v>17</v>
      </c>
      <c r="D49" s="1" t="s">
        <v>20</v>
      </c>
      <c r="E49" s="5">
        <v>45655</v>
      </c>
      <c r="F49" s="5">
        <v>45671</v>
      </c>
      <c r="G49" s="2">
        <v>1496.15</v>
      </c>
      <c r="H49" s="3">
        <v>120657</v>
      </c>
      <c r="I49" s="3">
        <v>3614</v>
      </c>
      <c r="J49" s="3">
        <v>116</v>
      </c>
      <c r="K49" s="2">
        <v>7717.48</v>
      </c>
      <c r="L49" s="6">
        <f t="shared" si="0"/>
        <v>2.9952675766843202E-2</v>
      </c>
      <c r="M49" s="6">
        <f t="shared" si="1"/>
        <v>3.2097399003873824E-2</v>
      </c>
      <c r="N49" s="7">
        <f t="shared" si="2"/>
        <v>5.1582261136918079</v>
      </c>
      <c r="O49" s="8">
        <f t="shared" si="3"/>
        <v>0.41398727172108468</v>
      </c>
      <c r="P49" s="8">
        <f t="shared" si="4"/>
        <v>12.897844827586209</v>
      </c>
    </row>
    <row r="50" spans="1:16" x14ac:dyDescent="0.35">
      <c r="A50" s="1">
        <v>5048</v>
      </c>
      <c r="B50" s="1" t="s">
        <v>70</v>
      </c>
      <c r="C50" s="1" t="s">
        <v>41</v>
      </c>
      <c r="D50" s="1" t="s">
        <v>26</v>
      </c>
      <c r="E50" s="5">
        <v>45651</v>
      </c>
      <c r="F50" s="5">
        <v>45692</v>
      </c>
      <c r="G50" s="2">
        <v>669.19</v>
      </c>
      <c r="H50" s="3">
        <v>95462</v>
      </c>
      <c r="I50" s="3">
        <v>1962</v>
      </c>
      <c r="J50" s="3">
        <v>44</v>
      </c>
      <c r="K50" s="2">
        <v>2376</v>
      </c>
      <c r="L50" s="6">
        <f t="shared" si="0"/>
        <v>2.0552680647797028E-2</v>
      </c>
      <c r="M50" s="6">
        <f t="shared" si="1"/>
        <v>2.2426095820591234E-2</v>
      </c>
      <c r="N50" s="7">
        <f t="shared" si="2"/>
        <v>3.5505611261375689</v>
      </c>
      <c r="O50" s="8">
        <f t="shared" si="3"/>
        <v>0.34107543323139655</v>
      </c>
      <c r="P50" s="8">
        <f t="shared" si="4"/>
        <v>15.208863636363638</v>
      </c>
    </row>
    <row r="51" spans="1:16" x14ac:dyDescent="0.35">
      <c r="A51" s="1">
        <v>5049</v>
      </c>
      <c r="B51" s="1" t="s">
        <v>71</v>
      </c>
      <c r="C51" s="1" t="s">
        <v>47</v>
      </c>
      <c r="D51" s="1" t="s">
        <v>18</v>
      </c>
      <c r="E51" s="5">
        <v>45457</v>
      </c>
      <c r="F51" s="5">
        <v>45502</v>
      </c>
      <c r="G51" s="2">
        <v>3599.75</v>
      </c>
      <c r="H51" s="3">
        <v>390005</v>
      </c>
      <c r="I51" s="3">
        <v>5340</v>
      </c>
      <c r="J51" s="3">
        <v>105</v>
      </c>
      <c r="K51" s="2">
        <v>8956.5</v>
      </c>
      <c r="L51" s="6">
        <f t="shared" si="0"/>
        <v>1.3692132152151896E-2</v>
      </c>
      <c r="M51" s="6">
        <f t="shared" si="1"/>
        <v>1.9662921348314606E-2</v>
      </c>
      <c r="N51" s="7">
        <f t="shared" si="2"/>
        <v>2.4880894506562954</v>
      </c>
      <c r="O51" s="8">
        <f t="shared" si="3"/>
        <v>0.67411048689138575</v>
      </c>
      <c r="P51" s="8">
        <f t="shared" si="4"/>
        <v>34.283333333333331</v>
      </c>
    </row>
    <row r="52" spans="1:16" x14ac:dyDescent="0.35">
      <c r="A52" s="1">
        <v>5050</v>
      </c>
      <c r="B52" s="1" t="s">
        <v>72</v>
      </c>
      <c r="C52" s="1" t="s">
        <v>37</v>
      </c>
      <c r="D52" s="1" t="s">
        <v>26</v>
      </c>
      <c r="E52" s="5">
        <v>45566</v>
      </c>
      <c r="F52" s="5">
        <v>45611</v>
      </c>
      <c r="G52" s="2">
        <v>3678.47</v>
      </c>
      <c r="H52" s="3">
        <v>224434</v>
      </c>
      <c r="I52" s="3">
        <v>2412</v>
      </c>
      <c r="J52" s="3">
        <v>57</v>
      </c>
      <c r="K52" s="2">
        <v>8777.43</v>
      </c>
      <c r="L52" s="6">
        <f t="shared" si="0"/>
        <v>1.0747034763003822E-2</v>
      </c>
      <c r="M52" s="6">
        <f t="shared" si="1"/>
        <v>2.36318407960199E-2</v>
      </c>
      <c r="N52" s="7">
        <f t="shared" si="2"/>
        <v>2.3861632689678047</v>
      </c>
      <c r="O52" s="8">
        <f t="shared" si="3"/>
        <v>1.5250704809286899</v>
      </c>
      <c r="P52" s="8">
        <f t="shared" si="4"/>
        <v>64.534561403508775</v>
      </c>
    </row>
    <row r="53" spans="1:16" x14ac:dyDescent="0.35">
      <c r="A53" s="1">
        <v>5051</v>
      </c>
      <c r="B53" s="1" t="s">
        <v>33</v>
      </c>
      <c r="C53" s="1" t="s">
        <v>22</v>
      </c>
      <c r="D53" s="1" t="s">
        <v>38</v>
      </c>
      <c r="E53" s="5">
        <v>45664</v>
      </c>
      <c r="F53" s="5">
        <v>45691</v>
      </c>
      <c r="G53" s="2">
        <v>141.05000000000001</v>
      </c>
      <c r="H53" s="3">
        <v>118529</v>
      </c>
      <c r="I53" s="3">
        <v>4691</v>
      </c>
      <c r="J53" s="3">
        <v>312</v>
      </c>
      <c r="K53" s="2">
        <v>20386.080000000002</v>
      </c>
      <c r="L53" s="6">
        <f t="shared" si="0"/>
        <v>3.9576812425651108E-2</v>
      </c>
      <c r="M53" s="6">
        <f t="shared" si="1"/>
        <v>6.6510338946919628E-2</v>
      </c>
      <c r="N53" s="7">
        <f t="shared" si="2"/>
        <v>144.53087557603686</v>
      </c>
      <c r="O53" s="8">
        <f t="shared" si="3"/>
        <v>3.0068215732253253E-2</v>
      </c>
      <c r="P53" s="8">
        <f t="shared" si="4"/>
        <v>0.45208333333333339</v>
      </c>
    </row>
    <row r="54" spans="1:16" x14ac:dyDescent="0.35">
      <c r="A54" s="1">
        <v>5052</v>
      </c>
      <c r="B54" s="1" t="s">
        <v>71</v>
      </c>
      <c r="C54" s="1" t="s">
        <v>47</v>
      </c>
      <c r="D54" s="1" t="s">
        <v>38</v>
      </c>
      <c r="E54" s="5">
        <v>45669</v>
      </c>
      <c r="F54" s="5">
        <v>45691</v>
      </c>
      <c r="G54" s="2">
        <v>2103.83</v>
      </c>
      <c r="H54" s="3">
        <v>388160</v>
      </c>
      <c r="I54" s="3">
        <v>4565</v>
      </c>
      <c r="J54" s="3">
        <v>113</v>
      </c>
      <c r="K54" s="2">
        <v>3988.9</v>
      </c>
      <c r="L54" s="6">
        <f t="shared" si="0"/>
        <v>1.1760614179719703E-2</v>
      </c>
      <c r="M54" s="6">
        <f t="shared" si="1"/>
        <v>2.475355969331873E-2</v>
      </c>
      <c r="N54" s="7">
        <f t="shared" si="2"/>
        <v>1.8960182143994526</v>
      </c>
      <c r="O54" s="8">
        <f t="shared" si="3"/>
        <v>0.46086089813800657</v>
      </c>
      <c r="P54" s="8">
        <f t="shared" si="4"/>
        <v>18.617964601769909</v>
      </c>
    </row>
    <row r="55" spans="1:16" x14ac:dyDescent="0.35">
      <c r="A55" s="1">
        <v>5053</v>
      </c>
      <c r="B55" s="1" t="s">
        <v>73</v>
      </c>
      <c r="C55" s="1" t="s">
        <v>47</v>
      </c>
      <c r="D55" s="1" t="s">
        <v>26</v>
      </c>
      <c r="E55" s="5">
        <v>45784</v>
      </c>
      <c r="F55" s="5">
        <v>45824</v>
      </c>
      <c r="G55" s="2">
        <v>987.57</v>
      </c>
      <c r="H55" s="3">
        <v>157507</v>
      </c>
      <c r="I55" s="3">
        <v>3711</v>
      </c>
      <c r="J55" s="3">
        <v>222</v>
      </c>
      <c r="K55" s="2">
        <v>8391.6</v>
      </c>
      <c r="L55" s="6">
        <f t="shared" si="0"/>
        <v>2.3560857612677531E-2</v>
      </c>
      <c r="M55" s="6">
        <f t="shared" si="1"/>
        <v>5.9822150363783348E-2</v>
      </c>
      <c r="N55" s="7">
        <f t="shared" si="2"/>
        <v>8.4972204501959361</v>
      </c>
      <c r="O55" s="8">
        <f t="shared" si="3"/>
        <v>0.2661196443007276</v>
      </c>
      <c r="P55" s="8">
        <f t="shared" si="4"/>
        <v>4.4485135135135137</v>
      </c>
    </row>
    <row r="56" spans="1:16" x14ac:dyDescent="0.35">
      <c r="A56" s="1">
        <v>5054</v>
      </c>
      <c r="B56" s="1" t="s">
        <v>62</v>
      </c>
      <c r="C56" s="1" t="s">
        <v>25</v>
      </c>
      <c r="D56" s="1" t="s">
        <v>26</v>
      </c>
      <c r="E56" s="5">
        <v>45633</v>
      </c>
      <c r="F56" s="5">
        <v>45644</v>
      </c>
      <c r="G56" s="2">
        <v>1238.43</v>
      </c>
      <c r="H56" s="3">
        <v>264057</v>
      </c>
      <c r="I56" s="3">
        <v>7045</v>
      </c>
      <c r="J56" s="3">
        <v>290</v>
      </c>
      <c r="K56" s="2">
        <v>21117.8</v>
      </c>
      <c r="L56" s="6">
        <f t="shared" si="0"/>
        <v>2.6679845639388466E-2</v>
      </c>
      <c r="M56" s="6">
        <f t="shared" si="1"/>
        <v>4.1163946061036197E-2</v>
      </c>
      <c r="N56" s="7">
        <f t="shared" si="2"/>
        <v>17.052073996915446</v>
      </c>
      <c r="O56" s="8">
        <f t="shared" si="3"/>
        <v>0.17578850248403124</v>
      </c>
      <c r="P56" s="8">
        <f t="shared" si="4"/>
        <v>4.2704482758620692</v>
      </c>
    </row>
    <row r="57" spans="1:16" x14ac:dyDescent="0.35">
      <c r="A57" s="1">
        <v>5055</v>
      </c>
      <c r="B57" s="1" t="s">
        <v>74</v>
      </c>
      <c r="C57" s="1" t="s">
        <v>28</v>
      </c>
      <c r="D57" s="1" t="s">
        <v>38</v>
      </c>
      <c r="E57" s="5">
        <v>45497</v>
      </c>
      <c r="F57" s="5">
        <v>45523</v>
      </c>
      <c r="G57" s="2">
        <v>8225.1200000000008</v>
      </c>
      <c r="H57" s="3">
        <v>345884</v>
      </c>
      <c r="I57" s="3">
        <v>12114</v>
      </c>
      <c r="J57" s="3">
        <v>1026</v>
      </c>
      <c r="K57" s="2">
        <v>103995.36</v>
      </c>
      <c r="L57" s="6">
        <f t="shared" si="0"/>
        <v>3.5023302610123624E-2</v>
      </c>
      <c r="M57" s="6">
        <f t="shared" si="1"/>
        <v>8.469539375928678E-2</v>
      </c>
      <c r="N57" s="7">
        <f t="shared" si="2"/>
        <v>12.643628299647906</v>
      </c>
      <c r="O57" s="8">
        <f t="shared" si="3"/>
        <v>0.67897639095261686</v>
      </c>
      <c r="P57" s="8">
        <f t="shared" si="4"/>
        <v>8.0166861598440562</v>
      </c>
    </row>
    <row r="58" spans="1:16" x14ac:dyDescent="0.35">
      <c r="A58" s="1">
        <v>5056</v>
      </c>
      <c r="B58" s="1" t="s">
        <v>75</v>
      </c>
      <c r="C58" s="1" t="s">
        <v>22</v>
      </c>
      <c r="D58" s="1" t="s">
        <v>20</v>
      </c>
      <c r="E58" s="5">
        <v>45614</v>
      </c>
      <c r="F58" s="5">
        <v>45621</v>
      </c>
      <c r="G58" s="2">
        <v>687.95</v>
      </c>
      <c r="H58" s="3">
        <v>393112</v>
      </c>
      <c r="I58" s="3">
        <v>12705</v>
      </c>
      <c r="J58" s="3">
        <v>1313</v>
      </c>
      <c r="K58" s="2">
        <v>47215.48</v>
      </c>
      <c r="L58" s="6">
        <f t="shared" si="0"/>
        <v>3.2319033761370804E-2</v>
      </c>
      <c r="M58" s="6">
        <f t="shared" si="1"/>
        <v>0.10334513970877607</v>
      </c>
      <c r="N58" s="7">
        <f t="shared" si="2"/>
        <v>68.632138963587465</v>
      </c>
      <c r="O58" s="8">
        <f t="shared" si="3"/>
        <v>5.4147973238882333E-2</v>
      </c>
      <c r="P58" s="8">
        <f t="shared" si="4"/>
        <v>0.52395277989337397</v>
      </c>
    </row>
    <row r="59" spans="1:16" x14ac:dyDescent="0.35">
      <c r="A59" s="1">
        <v>5057</v>
      </c>
      <c r="B59" s="1" t="s">
        <v>76</v>
      </c>
      <c r="C59" s="1" t="s">
        <v>37</v>
      </c>
      <c r="D59" s="1" t="s">
        <v>26</v>
      </c>
      <c r="E59" s="5">
        <v>45759</v>
      </c>
      <c r="F59" s="5">
        <v>45780</v>
      </c>
      <c r="G59" s="2">
        <v>9675.23</v>
      </c>
      <c r="H59" s="3">
        <v>340677</v>
      </c>
      <c r="I59" s="3">
        <v>2180</v>
      </c>
      <c r="J59" s="3">
        <v>35</v>
      </c>
      <c r="K59" s="2">
        <v>5408.9</v>
      </c>
      <c r="L59" s="6">
        <f t="shared" si="0"/>
        <v>6.3990231216078577E-3</v>
      </c>
      <c r="M59" s="6">
        <f t="shared" si="1"/>
        <v>1.6055045871559634E-2</v>
      </c>
      <c r="N59" s="7">
        <f t="shared" si="2"/>
        <v>0.55904614153875409</v>
      </c>
      <c r="O59" s="8">
        <f t="shared" si="3"/>
        <v>4.438178899082569</v>
      </c>
      <c r="P59" s="8">
        <f t="shared" si="4"/>
        <v>276.43514285714286</v>
      </c>
    </row>
    <row r="60" spans="1:16" x14ac:dyDescent="0.35">
      <c r="A60" s="1">
        <v>5058</v>
      </c>
      <c r="B60" s="1" t="s">
        <v>77</v>
      </c>
      <c r="C60" s="1" t="s">
        <v>22</v>
      </c>
      <c r="D60" s="1" t="s">
        <v>26</v>
      </c>
      <c r="E60" s="5">
        <v>45615</v>
      </c>
      <c r="F60" s="5">
        <v>45659</v>
      </c>
      <c r="G60" s="2">
        <v>162.83000000000001</v>
      </c>
      <c r="H60" s="3">
        <v>275987</v>
      </c>
      <c r="I60" s="3">
        <v>9584</v>
      </c>
      <c r="J60" s="3">
        <v>568</v>
      </c>
      <c r="K60" s="2">
        <v>20209.439999999999</v>
      </c>
      <c r="L60" s="6">
        <f t="shared" si="0"/>
        <v>3.4726273338961618E-2</v>
      </c>
      <c r="M60" s="6">
        <f t="shared" si="1"/>
        <v>5.9265442404006677E-2</v>
      </c>
      <c r="N60" s="7">
        <f t="shared" si="2"/>
        <v>124.11373825462137</v>
      </c>
      <c r="O60" s="8">
        <f t="shared" si="3"/>
        <v>1.6989774624373958E-2</v>
      </c>
      <c r="P60" s="8">
        <f t="shared" si="4"/>
        <v>0.28667253521126762</v>
      </c>
    </row>
    <row r="61" spans="1:16" x14ac:dyDescent="0.35">
      <c r="A61" s="1">
        <v>5059</v>
      </c>
      <c r="B61" s="1" t="s">
        <v>78</v>
      </c>
      <c r="C61" s="1" t="s">
        <v>60</v>
      </c>
      <c r="D61" s="1" t="s">
        <v>26</v>
      </c>
      <c r="E61" s="5">
        <v>45752</v>
      </c>
      <c r="F61" s="5">
        <v>45796</v>
      </c>
      <c r="G61" s="2">
        <v>3057.92</v>
      </c>
      <c r="H61" s="3">
        <v>269896</v>
      </c>
      <c r="I61" s="3">
        <v>1435</v>
      </c>
      <c r="J61" s="3">
        <v>40</v>
      </c>
      <c r="K61" s="2">
        <v>2465.1999999999998</v>
      </c>
      <c r="L61" s="6">
        <f t="shared" si="0"/>
        <v>5.3168627915937995E-3</v>
      </c>
      <c r="M61" s="6">
        <f t="shared" si="1"/>
        <v>2.7874564459930314E-2</v>
      </c>
      <c r="N61" s="7">
        <f t="shared" si="2"/>
        <v>0.80616889912097101</v>
      </c>
      <c r="O61" s="8">
        <f t="shared" si="3"/>
        <v>2.1309547038327525</v>
      </c>
      <c r="P61" s="8">
        <f t="shared" si="4"/>
        <v>76.448000000000008</v>
      </c>
    </row>
    <row r="62" spans="1:16" x14ac:dyDescent="0.35">
      <c r="A62" s="1">
        <v>5060</v>
      </c>
      <c r="B62" s="1" t="s">
        <v>57</v>
      </c>
      <c r="C62" s="1" t="s">
        <v>41</v>
      </c>
      <c r="D62" s="1" t="s">
        <v>18</v>
      </c>
      <c r="E62" s="5">
        <v>45454</v>
      </c>
      <c r="F62" s="5">
        <v>45497</v>
      </c>
      <c r="G62" s="2">
        <v>1460.85</v>
      </c>
      <c r="H62" s="3">
        <v>193747</v>
      </c>
      <c r="I62" s="3">
        <v>2766</v>
      </c>
      <c r="J62" s="3">
        <v>46</v>
      </c>
      <c r="K62" s="2">
        <v>1608.62</v>
      </c>
      <c r="L62" s="6">
        <f t="shared" si="0"/>
        <v>1.4276350085420678E-2</v>
      </c>
      <c r="M62" s="6">
        <f t="shared" si="1"/>
        <v>1.6630513376717282E-2</v>
      </c>
      <c r="N62" s="7">
        <f t="shared" si="2"/>
        <v>1.1011534380668788</v>
      </c>
      <c r="O62" s="8">
        <f t="shared" si="3"/>
        <v>0.52814533622559645</v>
      </c>
      <c r="P62" s="8">
        <f t="shared" si="4"/>
        <v>31.757608695652173</v>
      </c>
    </row>
    <row r="63" spans="1:16" x14ac:dyDescent="0.35">
      <c r="A63" s="1">
        <v>5061</v>
      </c>
      <c r="B63" s="1" t="s">
        <v>64</v>
      </c>
      <c r="C63" s="1" t="s">
        <v>22</v>
      </c>
      <c r="D63" s="1" t="s">
        <v>18</v>
      </c>
      <c r="E63" s="5">
        <v>45563</v>
      </c>
      <c r="F63" s="5">
        <v>45567</v>
      </c>
      <c r="G63" s="2">
        <v>619.36</v>
      </c>
      <c r="H63" s="3">
        <v>448811</v>
      </c>
      <c r="I63" s="3">
        <v>20522</v>
      </c>
      <c r="J63" s="3">
        <v>1754</v>
      </c>
      <c r="K63" s="2">
        <v>72966.399999999994</v>
      </c>
      <c r="L63" s="6">
        <f t="shared" si="0"/>
        <v>4.5725260744500472E-2</v>
      </c>
      <c r="M63" s="6">
        <f t="shared" si="1"/>
        <v>8.5469252509501992E-2</v>
      </c>
      <c r="N63" s="7">
        <f t="shared" si="2"/>
        <v>117.80935158873675</v>
      </c>
      <c r="O63" s="8">
        <f t="shared" si="3"/>
        <v>3.0180294318292566E-2</v>
      </c>
      <c r="P63" s="8">
        <f t="shared" si="4"/>
        <v>0.35311288483466363</v>
      </c>
    </row>
    <row r="64" spans="1:16" x14ac:dyDescent="0.35">
      <c r="A64" s="1">
        <v>5062</v>
      </c>
      <c r="B64" s="1" t="s">
        <v>79</v>
      </c>
      <c r="C64" s="1" t="s">
        <v>28</v>
      </c>
      <c r="D64" s="1" t="s">
        <v>38</v>
      </c>
      <c r="E64" s="5">
        <v>45523</v>
      </c>
      <c r="F64" s="5">
        <v>45536</v>
      </c>
      <c r="G64" s="2">
        <v>105.67</v>
      </c>
      <c r="H64" s="3">
        <v>9063</v>
      </c>
      <c r="I64" s="3">
        <v>615</v>
      </c>
      <c r="J64" s="3">
        <v>32</v>
      </c>
      <c r="K64" s="2">
        <v>1905.6</v>
      </c>
      <c r="L64" s="6">
        <f t="shared" si="0"/>
        <v>6.785832505792784E-2</v>
      </c>
      <c r="M64" s="6">
        <f t="shared" si="1"/>
        <v>5.2032520325203252E-2</v>
      </c>
      <c r="N64" s="7">
        <f t="shared" si="2"/>
        <v>18.03350052048831</v>
      </c>
      <c r="O64" s="8">
        <f t="shared" si="3"/>
        <v>0.17182113821138212</v>
      </c>
      <c r="P64" s="8">
        <f t="shared" si="4"/>
        <v>3.3021875000000001</v>
      </c>
    </row>
    <row r="65" spans="1:16" x14ac:dyDescent="0.35">
      <c r="A65" s="1">
        <v>5063</v>
      </c>
      <c r="B65" s="1" t="s">
        <v>80</v>
      </c>
      <c r="C65" s="1" t="s">
        <v>47</v>
      </c>
      <c r="D65" s="1" t="s">
        <v>18</v>
      </c>
      <c r="E65" s="5">
        <v>45547</v>
      </c>
      <c r="F65" s="5">
        <v>45559</v>
      </c>
      <c r="G65" s="2">
        <v>38</v>
      </c>
      <c r="H65" s="3">
        <v>7422</v>
      </c>
      <c r="I65" s="3">
        <v>184</v>
      </c>
      <c r="J65" s="3">
        <v>9</v>
      </c>
      <c r="K65" s="2">
        <v>354.33</v>
      </c>
      <c r="L65" s="6">
        <f t="shared" si="0"/>
        <v>2.4791161412018325E-2</v>
      </c>
      <c r="M65" s="6">
        <f t="shared" si="1"/>
        <v>4.8913043478260872E-2</v>
      </c>
      <c r="N65" s="7">
        <f t="shared" si="2"/>
        <v>9.3244736842105258</v>
      </c>
      <c r="O65" s="8">
        <f t="shared" si="3"/>
        <v>0.20652173913043478</v>
      </c>
      <c r="P65" s="8">
        <f t="shared" si="4"/>
        <v>4.2222222222222223</v>
      </c>
    </row>
    <row r="66" spans="1:16" x14ac:dyDescent="0.35">
      <c r="A66" s="1">
        <v>5064</v>
      </c>
      <c r="B66" s="1" t="s">
        <v>81</v>
      </c>
      <c r="C66" s="1" t="s">
        <v>28</v>
      </c>
      <c r="D66" s="1" t="s">
        <v>18</v>
      </c>
      <c r="E66" s="5">
        <v>45507</v>
      </c>
      <c r="F66" s="5">
        <v>45523</v>
      </c>
      <c r="G66" s="2">
        <v>4475.0600000000004</v>
      </c>
      <c r="H66" s="3">
        <v>369229</v>
      </c>
      <c r="I66" s="3">
        <v>22884</v>
      </c>
      <c r="J66" s="3">
        <v>1549</v>
      </c>
      <c r="K66" s="2">
        <v>58319.85</v>
      </c>
      <c r="L66" s="6">
        <f t="shared" ref="L66:L129" si="5">IFERROR(I66/H66,0)</f>
        <v>6.1977796976943847E-2</v>
      </c>
      <c r="M66" s="6">
        <f t="shared" ref="M66:M129" si="6">IFERROR(J66/I66,0)</f>
        <v>6.7689215172172704E-2</v>
      </c>
      <c r="N66" s="7">
        <f t="shared" ref="N66:N129" si="7">IFERROR(K66/G66,0)</f>
        <v>13.032193981756668</v>
      </c>
      <c r="O66" s="8">
        <f t="shared" ref="O66:O129" si="8">IFERROR(G66/I66,0)</f>
        <v>0.19555409893375286</v>
      </c>
      <c r="P66" s="8">
        <f t="shared" ref="P66:P129" si="9">IFERROR(G66/J66,0)</f>
        <v>2.8889993544222081</v>
      </c>
    </row>
    <row r="67" spans="1:16" x14ac:dyDescent="0.35">
      <c r="A67" s="1">
        <v>5065</v>
      </c>
      <c r="B67" s="1" t="s">
        <v>27</v>
      </c>
      <c r="C67" s="1" t="s">
        <v>28</v>
      </c>
      <c r="D67" s="1" t="s">
        <v>23</v>
      </c>
      <c r="E67" s="5">
        <v>45665</v>
      </c>
      <c r="F67" s="5">
        <v>45704</v>
      </c>
      <c r="G67" s="2">
        <v>3385.94</v>
      </c>
      <c r="H67" s="3">
        <v>415453</v>
      </c>
      <c r="I67" s="3">
        <v>28701</v>
      </c>
      <c r="J67" s="3">
        <v>1906</v>
      </c>
      <c r="K67" s="2">
        <v>171006.32</v>
      </c>
      <c r="L67" s="6">
        <f t="shared" si="5"/>
        <v>6.9083626788108407E-2</v>
      </c>
      <c r="M67" s="6">
        <f t="shared" si="6"/>
        <v>6.6408835929061702E-2</v>
      </c>
      <c r="N67" s="7">
        <f t="shared" si="7"/>
        <v>50.504828792004588</v>
      </c>
      <c r="O67" s="8">
        <f t="shared" si="8"/>
        <v>0.11797289293055992</v>
      </c>
      <c r="P67" s="8">
        <f t="shared" si="9"/>
        <v>1.7764637985309548</v>
      </c>
    </row>
    <row r="68" spans="1:16" x14ac:dyDescent="0.35">
      <c r="A68" s="1">
        <v>5066</v>
      </c>
      <c r="B68" s="1" t="s">
        <v>42</v>
      </c>
      <c r="C68" s="1" t="s">
        <v>37</v>
      </c>
      <c r="D68" s="1" t="s">
        <v>38</v>
      </c>
      <c r="E68" s="5">
        <v>45795</v>
      </c>
      <c r="F68" s="5">
        <v>45820</v>
      </c>
      <c r="G68" s="2">
        <v>15136.13</v>
      </c>
      <c r="H68" s="3">
        <v>465727</v>
      </c>
      <c r="I68" s="3">
        <v>5883</v>
      </c>
      <c r="J68" s="3">
        <v>64</v>
      </c>
      <c r="K68" s="2">
        <v>9900.7999999999993</v>
      </c>
      <c r="L68" s="6">
        <f t="shared" si="5"/>
        <v>1.263186373132758E-2</v>
      </c>
      <c r="M68" s="6">
        <f t="shared" si="6"/>
        <v>1.087880333163352E-2</v>
      </c>
      <c r="N68" s="7">
        <f t="shared" si="7"/>
        <v>0.65411700348768143</v>
      </c>
      <c r="O68" s="8">
        <f t="shared" si="8"/>
        <v>2.5728590855005948</v>
      </c>
      <c r="P68" s="8">
        <f t="shared" si="9"/>
        <v>236.50203124999999</v>
      </c>
    </row>
    <row r="69" spans="1:16" x14ac:dyDescent="0.35">
      <c r="A69" s="1">
        <v>5067</v>
      </c>
      <c r="B69" s="1" t="s">
        <v>62</v>
      </c>
      <c r="C69" s="1" t="s">
        <v>25</v>
      </c>
      <c r="D69" s="1" t="s">
        <v>23</v>
      </c>
      <c r="E69" s="5">
        <v>45771</v>
      </c>
      <c r="F69" s="5">
        <v>45779</v>
      </c>
      <c r="G69" s="2">
        <v>2125.98</v>
      </c>
      <c r="H69" s="3">
        <v>410420</v>
      </c>
      <c r="I69" s="3">
        <v>20013</v>
      </c>
      <c r="J69" s="3">
        <v>1332</v>
      </c>
      <c r="K69" s="2">
        <v>114791.76</v>
      </c>
      <c r="L69" s="6">
        <f t="shared" si="5"/>
        <v>4.8762243555382292E-2</v>
      </c>
      <c r="M69" s="6">
        <f t="shared" si="6"/>
        <v>6.6556738120221851E-2</v>
      </c>
      <c r="N69" s="7">
        <f t="shared" si="7"/>
        <v>53.994750656167973</v>
      </c>
      <c r="O69" s="8">
        <f t="shared" si="8"/>
        <v>0.1062299505321541</v>
      </c>
      <c r="P69" s="8">
        <f t="shared" si="9"/>
        <v>1.596081081081081</v>
      </c>
    </row>
    <row r="70" spans="1:16" x14ac:dyDescent="0.35">
      <c r="A70" s="1">
        <v>5068</v>
      </c>
      <c r="B70" s="1" t="s">
        <v>53</v>
      </c>
      <c r="C70" s="1" t="s">
        <v>17</v>
      </c>
      <c r="D70" s="1" t="s">
        <v>38</v>
      </c>
      <c r="E70" s="5">
        <v>45633</v>
      </c>
      <c r="F70" s="5">
        <v>45678</v>
      </c>
      <c r="G70" s="2">
        <v>1434.56</v>
      </c>
      <c r="H70" s="3">
        <v>259414</v>
      </c>
      <c r="I70" s="3">
        <v>5640</v>
      </c>
      <c r="J70" s="3">
        <v>144</v>
      </c>
      <c r="K70" s="2">
        <v>9802.08</v>
      </c>
      <c r="L70" s="6">
        <f t="shared" si="5"/>
        <v>2.1741309258559677E-2</v>
      </c>
      <c r="M70" s="6">
        <f t="shared" si="6"/>
        <v>2.553191489361702E-2</v>
      </c>
      <c r="N70" s="7">
        <f t="shared" si="7"/>
        <v>6.832812848538925</v>
      </c>
      <c r="O70" s="8">
        <f t="shared" si="8"/>
        <v>0.25435460992907799</v>
      </c>
      <c r="P70" s="8">
        <f t="shared" si="9"/>
        <v>9.9622222222222216</v>
      </c>
    </row>
    <row r="71" spans="1:16" x14ac:dyDescent="0.35">
      <c r="A71" s="1">
        <v>5069</v>
      </c>
      <c r="B71" s="1" t="s">
        <v>82</v>
      </c>
      <c r="C71" s="1" t="s">
        <v>37</v>
      </c>
      <c r="D71" s="1" t="s">
        <v>20</v>
      </c>
      <c r="E71" s="5">
        <v>45693</v>
      </c>
      <c r="F71" s="5">
        <v>45716</v>
      </c>
      <c r="G71" s="2">
        <v>8251.3700000000008</v>
      </c>
      <c r="H71" s="3">
        <v>432235</v>
      </c>
      <c r="I71" s="3">
        <v>5499</v>
      </c>
      <c r="J71" s="3">
        <v>179</v>
      </c>
      <c r="K71" s="2">
        <v>15820.02</v>
      </c>
      <c r="L71" s="6">
        <f t="shared" si="5"/>
        <v>1.2722246000439575E-2</v>
      </c>
      <c r="M71" s="6">
        <f t="shared" si="6"/>
        <v>3.2551372976904892E-2</v>
      </c>
      <c r="N71" s="7">
        <f t="shared" si="7"/>
        <v>1.917259800493736</v>
      </c>
      <c r="O71" s="8">
        <f t="shared" si="8"/>
        <v>1.5005219130751046</v>
      </c>
      <c r="P71" s="8">
        <f t="shared" si="9"/>
        <v>46.097039106145253</v>
      </c>
    </row>
    <row r="72" spans="1:16" x14ac:dyDescent="0.35">
      <c r="A72" s="1">
        <v>5070</v>
      </c>
      <c r="B72" s="1" t="s">
        <v>32</v>
      </c>
      <c r="C72" s="1" t="s">
        <v>28</v>
      </c>
      <c r="D72" s="1" t="s">
        <v>38</v>
      </c>
      <c r="E72" s="5">
        <v>45790</v>
      </c>
      <c r="F72" s="5">
        <v>45821</v>
      </c>
      <c r="G72" s="2">
        <v>7269.36</v>
      </c>
      <c r="H72" s="3">
        <v>477305</v>
      </c>
      <c r="I72" s="3">
        <v>16178</v>
      </c>
      <c r="J72" s="3">
        <v>909</v>
      </c>
      <c r="K72" s="2">
        <v>98053.83</v>
      </c>
      <c r="L72" s="6">
        <f t="shared" si="5"/>
        <v>3.389446999298143E-2</v>
      </c>
      <c r="M72" s="6">
        <f t="shared" si="6"/>
        <v>5.6187415008035604E-2</v>
      </c>
      <c r="N72" s="7">
        <f t="shared" si="7"/>
        <v>13.488646868500116</v>
      </c>
      <c r="O72" s="8">
        <f t="shared" si="8"/>
        <v>0.44933613549264428</v>
      </c>
      <c r="P72" s="8">
        <f t="shared" si="9"/>
        <v>7.9970957095709565</v>
      </c>
    </row>
    <row r="73" spans="1:16" x14ac:dyDescent="0.35">
      <c r="A73" s="1">
        <v>5071</v>
      </c>
      <c r="B73" s="1" t="s">
        <v>27</v>
      </c>
      <c r="C73" s="1" t="s">
        <v>28</v>
      </c>
      <c r="D73" s="1" t="s">
        <v>18</v>
      </c>
      <c r="E73" s="5">
        <v>45728</v>
      </c>
      <c r="F73" s="5">
        <v>45754</v>
      </c>
      <c r="G73" s="2">
        <v>5205.1400000000003</v>
      </c>
      <c r="H73" s="3">
        <v>382450</v>
      </c>
      <c r="I73" s="3">
        <v>12200</v>
      </c>
      <c r="J73" s="3">
        <v>788</v>
      </c>
      <c r="K73" s="2">
        <v>45239.08</v>
      </c>
      <c r="L73" s="6">
        <f t="shared" si="5"/>
        <v>3.1899594718263827E-2</v>
      </c>
      <c r="M73" s="6">
        <f t="shared" si="6"/>
        <v>6.4590163934426223E-2</v>
      </c>
      <c r="N73" s="7">
        <f t="shared" si="7"/>
        <v>8.6912321282424685</v>
      </c>
      <c r="O73" s="8">
        <f t="shared" si="8"/>
        <v>0.4266508196721312</v>
      </c>
      <c r="P73" s="8">
        <f t="shared" si="9"/>
        <v>6.6055076142131988</v>
      </c>
    </row>
    <row r="74" spans="1:16" x14ac:dyDescent="0.35">
      <c r="A74" s="1">
        <v>5072</v>
      </c>
      <c r="B74" s="1" t="s">
        <v>83</v>
      </c>
      <c r="C74" s="1" t="s">
        <v>17</v>
      </c>
      <c r="D74" s="1" t="s">
        <v>26</v>
      </c>
      <c r="E74" s="5">
        <v>45701</v>
      </c>
      <c r="F74" s="5">
        <v>45716</v>
      </c>
      <c r="G74" s="2">
        <v>730.82</v>
      </c>
      <c r="H74" s="3">
        <v>87314</v>
      </c>
      <c r="I74" s="3">
        <v>590</v>
      </c>
      <c r="J74" s="3">
        <v>10</v>
      </c>
      <c r="K74" s="2">
        <v>721.1</v>
      </c>
      <c r="L74" s="6">
        <f t="shared" si="5"/>
        <v>6.7572210642050526E-3</v>
      </c>
      <c r="M74" s="6">
        <f t="shared" si="6"/>
        <v>1.6949152542372881E-2</v>
      </c>
      <c r="N74" s="7">
        <f t="shared" si="7"/>
        <v>0.98669987137735693</v>
      </c>
      <c r="O74" s="8">
        <f t="shared" si="8"/>
        <v>1.2386779661016949</v>
      </c>
      <c r="P74" s="8">
        <f t="shared" si="9"/>
        <v>73.082000000000008</v>
      </c>
    </row>
    <row r="75" spans="1:16" x14ac:dyDescent="0.35">
      <c r="A75" s="1">
        <v>5073</v>
      </c>
      <c r="B75" s="1" t="s">
        <v>84</v>
      </c>
      <c r="C75" s="1" t="s">
        <v>22</v>
      </c>
      <c r="D75" s="1" t="s">
        <v>18</v>
      </c>
      <c r="E75" s="5">
        <v>45821</v>
      </c>
      <c r="F75" s="5">
        <v>45846</v>
      </c>
      <c r="G75" s="2">
        <v>516.26</v>
      </c>
      <c r="H75" s="3">
        <v>279057</v>
      </c>
      <c r="I75" s="3">
        <v>15023</v>
      </c>
      <c r="J75" s="3">
        <v>886</v>
      </c>
      <c r="K75" s="2">
        <v>68744.740000000005</v>
      </c>
      <c r="L75" s="6">
        <f t="shared" si="5"/>
        <v>5.3834879612408931E-2</v>
      </c>
      <c r="M75" s="6">
        <f t="shared" si="6"/>
        <v>5.8976236437462561E-2</v>
      </c>
      <c r="N75" s="7">
        <f t="shared" si="7"/>
        <v>133.15914461705344</v>
      </c>
      <c r="O75" s="8">
        <f t="shared" si="8"/>
        <v>3.43646408839779E-2</v>
      </c>
      <c r="P75" s="8">
        <f t="shared" si="9"/>
        <v>0.58268623024830701</v>
      </c>
    </row>
    <row r="76" spans="1:16" x14ac:dyDescent="0.35">
      <c r="A76" s="1">
        <v>5074</v>
      </c>
      <c r="B76" s="1" t="s">
        <v>85</v>
      </c>
      <c r="C76" s="1" t="s">
        <v>17</v>
      </c>
      <c r="D76" s="1" t="s">
        <v>38</v>
      </c>
      <c r="E76" s="5">
        <v>45517</v>
      </c>
      <c r="F76" s="5">
        <v>45541</v>
      </c>
      <c r="G76" s="2">
        <v>2297.6799999999998</v>
      </c>
      <c r="H76" s="3">
        <v>194884</v>
      </c>
      <c r="I76" s="3">
        <v>5338</v>
      </c>
      <c r="J76" s="3">
        <v>234</v>
      </c>
      <c r="K76" s="2">
        <v>6727.5</v>
      </c>
      <c r="L76" s="6">
        <f t="shared" si="5"/>
        <v>2.7390652901213029E-2</v>
      </c>
      <c r="M76" s="6">
        <f t="shared" si="6"/>
        <v>4.3836642937429747E-2</v>
      </c>
      <c r="N76" s="7">
        <f t="shared" si="7"/>
        <v>2.9279534138783472</v>
      </c>
      <c r="O76" s="8">
        <f t="shared" si="8"/>
        <v>0.43043836642937428</v>
      </c>
      <c r="P76" s="8">
        <f t="shared" si="9"/>
        <v>9.8191452991452977</v>
      </c>
    </row>
    <row r="77" spans="1:16" x14ac:dyDescent="0.35">
      <c r="A77" s="1">
        <v>5075</v>
      </c>
      <c r="B77" s="1" t="s">
        <v>27</v>
      </c>
      <c r="C77" s="1" t="s">
        <v>28</v>
      </c>
      <c r="D77" s="1" t="s">
        <v>26</v>
      </c>
      <c r="E77" s="5">
        <v>45812</v>
      </c>
      <c r="F77" s="5">
        <v>45834</v>
      </c>
      <c r="G77" s="2">
        <v>3522.48</v>
      </c>
      <c r="H77" s="3">
        <v>173778</v>
      </c>
      <c r="I77" s="3">
        <v>9313</v>
      </c>
      <c r="J77" s="3">
        <v>814</v>
      </c>
      <c r="K77" s="2">
        <v>81766.3</v>
      </c>
      <c r="L77" s="6">
        <f t="shared" si="5"/>
        <v>5.3591363693908323E-2</v>
      </c>
      <c r="M77" s="6">
        <f t="shared" si="6"/>
        <v>8.7404703103189096E-2</v>
      </c>
      <c r="N77" s="7">
        <f t="shared" si="7"/>
        <v>23.212708092026073</v>
      </c>
      <c r="O77" s="8">
        <f t="shared" si="8"/>
        <v>0.37823257811661121</v>
      </c>
      <c r="P77" s="8">
        <f t="shared" si="9"/>
        <v>4.3273710073710072</v>
      </c>
    </row>
    <row r="78" spans="1:16" x14ac:dyDescent="0.35">
      <c r="A78" s="1">
        <v>5076</v>
      </c>
      <c r="B78" s="1" t="s">
        <v>86</v>
      </c>
      <c r="C78" s="1" t="s">
        <v>47</v>
      </c>
      <c r="D78" s="1" t="s">
        <v>20</v>
      </c>
      <c r="E78" s="5">
        <v>45580</v>
      </c>
      <c r="F78" s="5">
        <v>45596</v>
      </c>
      <c r="G78" s="2">
        <v>2179.83</v>
      </c>
      <c r="H78" s="3">
        <v>418393</v>
      </c>
      <c r="I78" s="3">
        <v>14467</v>
      </c>
      <c r="J78" s="3">
        <v>716</v>
      </c>
      <c r="K78" s="2">
        <v>28632.84</v>
      </c>
      <c r="L78" s="6">
        <f t="shared" si="5"/>
        <v>3.4577538343136718E-2</v>
      </c>
      <c r="M78" s="6">
        <f t="shared" si="6"/>
        <v>4.9491947190156906E-2</v>
      </c>
      <c r="N78" s="7">
        <f t="shared" si="7"/>
        <v>13.135354591871844</v>
      </c>
      <c r="O78" s="8">
        <f t="shared" si="8"/>
        <v>0.15067602128983201</v>
      </c>
      <c r="P78" s="8">
        <f t="shared" si="9"/>
        <v>3.0444553072625697</v>
      </c>
    </row>
    <row r="79" spans="1:16" x14ac:dyDescent="0.35">
      <c r="A79" s="1">
        <v>5077</v>
      </c>
      <c r="B79" s="1" t="s">
        <v>87</v>
      </c>
      <c r="C79" s="1" t="s">
        <v>47</v>
      </c>
      <c r="D79" s="1" t="s">
        <v>23</v>
      </c>
      <c r="E79" s="5">
        <v>45637</v>
      </c>
      <c r="F79" s="5">
        <v>45652</v>
      </c>
      <c r="G79" s="2">
        <v>1495.64</v>
      </c>
      <c r="H79" s="3">
        <v>263782</v>
      </c>
      <c r="I79" s="3">
        <v>6746</v>
      </c>
      <c r="J79" s="3">
        <v>303</v>
      </c>
      <c r="K79" s="2">
        <v>11744.28</v>
      </c>
      <c r="L79" s="6">
        <f t="shared" si="5"/>
        <v>2.5574148349773677E-2</v>
      </c>
      <c r="M79" s="6">
        <f t="shared" si="6"/>
        <v>4.4915505484731694E-2</v>
      </c>
      <c r="N79" s="7">
        <f t="shared" si="7"/>
        <v>7.8523441469872433</v>
      </c>
      <c r="O79" s="8">
        <f t="shared" si="8"/>
        <v>0.22170767862437002</v>
      </c>
      <c r="P79" s="8">
        <f t="shared" si="9"/>
        <v>4.9361056105610563</v>
      </c>
    </row>
    <row r="80" spans="1:16" x14ac:dyDescent="0.35">
      <c r="A80" s="1">
        <v>5078</v>
      </c>
      <c r="B80" s="1" t="s">
        <v>88</v>
      </c>
      <c r="C80" s="1" t="s">
        <v>60</v>
      </c>
      <c r="D80" s="1" t="s">
        <v>18</v>
      </c>
      <c r="E80" s="5">
        <v>45594</v>
      </c>
      <c r="F80" s="5">
        <v>45605</v>
      </c>
      <c r="G80" s="2">
        <v>1949.89</v>
      </c>
      <c r="H80" s="3">
        <v>274246</v>
      </c>
      <c r="I80" s="3">
        <v>2960</v>
      </c>
      <c r="J80" s="3">
        <v>39</v>
      </c>
      <c r="K80" s="2">
        <v>790.92</v>
      </c>
      <c r="L80" s="6">
        <f t="shared" si="5"/>
        <v>1.0793229436345472E-2</v>
      </c>
      <c r="M80" s="6">
        <f t="shared" si="6"/>
        <v>1.3175675675675676E-2</v>
      </c>
      <c r="N80" s="7">
        <f t="shared" si="7"/>
        <v>0.40562288129073942</v>
      </c>
      <c r="O80" s="8">
        <f t="shared" si="8"/>
        <v>0.65874662162162168</v>
      </c>
      <c r="P80" s="8">
        <f t="shared" si="9"/>
        <v>49.997179487179487</v>
      </c>
    </row>
    <row r="81" spans="1:16" x14ac:dyDescent="0.35">
      <c r="A81" s="1">
        <v>5079</v>
      </c>
      <c r="B81" s="1" t="s">
        <v>89</v>
      </c>
      <c r="C81" s="1" t="s">
        <v>25</v>
      </c>
      <c r="D81" s="1" t="s">
        <v>26</v>
      </c>
      <c r="E81" s="5">
        <v>45686</v>
      </c>
      <c r="F81" s="5">
        <v>45692</v>
      </c>
      <c r="G81" s="2">
        <v>154.77000000000001</v>
      </c>
      <c r="H81" s="3">
        <v>41054</v>
      </c>
      <c r="I81" s="3">
        <v>1530</v>
      </c>
      <c r="J81" s="3">
        <v>40</v>
      </c>
      <c r="K81" s="2">
        <v>2735.2</v>
      </c>
      <c r="L81" s="6">
        <f t="shared" si="5"/>
        <v>3.7267988502947338E-2</v>
      </c>
      <c r="M81" s="6">
        <f t="shared" si="6"/>
        <v>2.6143790849673203E-2</v>
      </c>
      <c r="N81" s="7">
        <f t="shared" si="7"/>
        <v>17.672675583123343</v>
      </c>
      <c r="O81" s="8">
        <f t="shared" si="8"/>
        <v>0.10115686274509804</v>
      </c>
      <c r="P81" s="8">
        <f t="shared" si="9"/>
        <v>3.8692500000000001</v>
      </c>
    </row>
    <row r="82" spans="1:16" x14ac:dyDescent="0.35">
      <c r="A82" s="1">
        <v>5080</v>
      </c>
      <c r="B82" s="1" t="s">
        <v>30</v>
      </c>
      <c r="C82" s="1" t="s">
        <v>25</v>
      </c>
      <c r="D82" s="1" t="s">
        <v>38</v>
      </c>
      <c r="E82" s="5">
        <v>45644</v>
      </c>
      <c r="F82" s="5">
        <v>45682</v>
      </c>
      <c r="G82" s="2">
        <v>423.51</v>
      </c>
      <c r="H82" s="3">
        <v>62742</v>
      </c>
      <c r="I82" s="3">
        <v>1554</v>
      </c>
      <c r="J82" s="3">
        <v>31</v>
      </c>
      <c r="K82" s="2">
        <v>1853.49</v>
      </c>
      <c r="L82" s="6">
        <f t="shared" si="5"/>
        <v>2.4768097924835038E-2</v>
      </c>
      <c r="M82" s="6">
        <f t="shared" si="6"/>
        <v>1.9948519948519948E-2</v>
      </c>
      <c r="N82" s="7">
        <f t="shared" si="7"/>
        <v>4.3764964227527097</v>
      </c>
      <c r="O82" s="8">
        <f t="shared" si="8"/>
        <v>0.27252895752895751</v>
      </c>
      <c r="P82" s="8">
        <f t="shared" si="9"/>
        <v>13.661612903225807</v>
      </c>
    </row>
    <row r="83" spans="1:16" x14ac:dyDescent="0.35">
      <c r="A83" s="1">
        <v>5081</v>
      </c>
      <c r="B83" s="1" t="s">
        <v>76</v>
      </c>
      <c r="C83" s="1" t="s">
        <v>37</v>
      </c>
      <c r="D83" s="1" t="s">
        <v>18</v>
      </c>
      <c r="E83" s="5">
        <v>45604</v>
      </c>
      <c r="F83" s="5">
        <v>45623</v>
      </c>
      <c r="G83" s="2">
        <v>11805.19</v>
      </c>
      <c r="H83" s="3">
        <v>445647</v>
      </c>
      <c r="I83" s="3">
        <v>3494</v>
      </c>
      <c r="J83" s="3">
        <v>90</v>
      </c>
      <c r="K83" s="2">
        <v>16539.3</v>
      </c>
      <c r="L83" s="6">
        <f t="shared" si="5"/>
        <v>7.8402861457611064E-3</v>
      </c>
      <c r="M83" s="6">
        <f t="shared" si="6"/>
        <v>2.5758443045220378E-2</v>
      </c>
      <c r="N83" s="7">
        <f t="shared" si="7"/>
        <v>1.4010193821531036</v>
      </c>
      <c r="O83" s="8">
        <f t="shared" si="8"/>
        <v>3.3787034917000573</v>
      </c>
      <c r="P83" s="8">
        <f t="shared" si="9"/>
        <v>131.16877777777779</v>
      </c>
    </row>
    <row r="84" spans="1:16" x14ac:dyDescent="0.35">
      <c r="A84" s="1">
        <v>5082</v>
      </c>
      <c r="B84" s="1" t="s">
        <v>75</v>
      </c>
      <c r="C84" s="1" t="s">
        <v>22</v>
      </c>
      <c r="D84" s="1" t="s">
        <v>23</v>
      </c>
      <c r="E84" s="5">
        <v>45490</v>
      </c>
      <c r="F84" s="5">
        <v>45510</v>
      </c>
      <c r="G84" s="2">
        <v>313.87</v>
      </c>
      <c r="H84" s="3">
        <v>418493</v>
      </c>
      <c r="I84" s="3">
        <v>21484</v>
      </c>
      <c r="J84" s="3">
        <v>867</v>
      </c>
      <c r="K84" s="2">
        <v>43809.51</v>
      </c>
      <c r="L84" s="6">
        <f t="shared" si="5"/>
        <v>5.1336581495986792E-2</v>
      </c>
      <c r="M84" s="6">
        <f t="shared" si="6"/>
        <v>4.0355613479798921E-2</v>
      </c>
      <c r="N84" s="7">
        <f t="shared" si="7"/>
        <v>139.57851976933125</v>
      </c>
      <c r="O84" s="8">
        <f t="shared" si="8"/>
        <v>1.460947681995904E-2</v>
      </c>
      <c r="P84" s="8">
        <f t="shared" si="9"/>
        <v>0.36201845444059977</v>
      </c>
    </row>
    <row r="85" spans="1:16" x14ac:dyDescent="0.35">
      <c r="A85" s="1">
        <v>5083</v>
      </c>
      <c r="B85" s="1" t="s">
        <v>90</v>
      </c>
      <c r="C85" s="1" t="s">
        <v>41</v>
      </c>
      <c r="D85" s="1" t="s">
        <v>23</v>
      </c>
      <c r="E85" s="5">
        <v>45456</v>
      </c>
      <c r="F85" s="5">
        <v>45461</v>
      </c>
      <c r="G85" s="2">
        <v>1954.59</v>
      </c>
      <c r="H85" s="3">
        <v>423072</v>
      </c>
      <c r="I85" s="3">
        <v>4599</v>
      </c>
      <c r="J85" s="3">
        <v>69</v>
      </c>
      <c r="K85" s="2">
        <v>3155.37</v>
      </c>
      <c r="L85" s="6">
        <f t="shared" si="5"/>
        <v>1.0870490129339687E-2</v>
      </c>
      <c r="M85" s="6">
        <f t="shared" si="6"/>
        <v>1.5003261578604044E-2</v>
      </c>
      <c r="N85" s="7">
        <f t="shared" si="7"/>
        <v>1.614338556935214</v>
      </c>
      <c r="O85" s="8">
        <f t="shared" si="8"/>
        <v>0.42500326157860402</v>
      </c>
      <c r="P85" s="8">
        <f t="shared" si="9"/>
        <v>28.327391304347824</v>
      </c>
    </row>
    <row r="86" spans="1:16" x14ac:dyDescent="0.35">
      <c r="A86" s="1">
        <v>5084</v>
      </c>
      <c r="B86" s="1" t="s">
        <v>63</v>
      </c>
      <c r="C86" s="1" t="s">
        <v>17</v>
      </c>
      <c r="D86" s="1" t="s">
        <v>38</v>
      </c>
      <c r="E86" s="5">
        <v>45811</v>
      </c>
      <c r="F86" s="5">
        <v>45824</v>
      </c>
      <c r="G86" s="2">
        <v>2588.9499999999998</v>
      </c>
      <c r="H86" s="3">
        <v>320415</v>
      </c>
      <c r="I86" s="3">
        <v>7773</v>
      </c>
      <c r="J86" s="3">
        <v>108</v>
      </c>
      <c r="K86" s="2">
        <v>8176.68</v>
      </c>
      <c r="L86" s="6">
        <f t="shared" si="5"/>
        <v>2.4259163896821308E-2</v>
      </c>
      <c r="M86" s="6">
        <f t="shared" si="6"/>
        <v>1.3894249324585103E-2</v>
      </c>
      <c r="N86" s="7">
        <f t="shared" si="7"/>
        <v>3.1582996967882737</v>
      </c>
      <c r="O86" s="8">
        <f t="shared" si="8"/>
        <v>0.33306959989707963</v>
      </c>
      <c r="P86" s="8">
        <f t="shared" si="9"/>
        <v>23.971759259259258</v>
      </c>
    </row>
    <row r="87" spans="1:16" x14ac:dyDescent="0.35">
      <c r="A87" s="1">
        <v>5085</v>
      </c>
      <c r="B87" s="1" t="s">
        <v>91</v>
      </c>
      <c r="C87" s="1" t="s">
        <v>37</v>
      </c>
      <c r="D87" s="1" t="s">
        <v>38</v>
      </c>
      <c r="E87" s="5">
        <v>45816</v>
      </c>
      <c r="F87" s="5">
        <v>45844</v>
      </c>
      <c r="G87" s="2">
        <v>5850.15</v>
      </c>
      <c r="H87" s="3">
        <v>203342</v>
      </c>
      <c r="I87" s="3">
        <v>2583</v>
      </c>
      <c r="J87" s="3">
        <v>92</v>
      </c>
      <c r="K87" s="2">
        <v>18561</v>
      </c>
      <c r="L87" s="6">
        <f t="shared" si="5"/>
        <v>1.2702737260379066E-2</v>
      </c>
      <c r="M87" s="6">
        <f t="shared" si="6"/>
        <v>3.5617499032133182E-2</v>
      </c>
      <c r="N87" s="7">
        <f t="shared" si="7"/>
        <v>3.1727391605343453</v>
      </c>
      <c r="O87" s="8">
        <f t="shared" si="8"/>
        <v>2.2648664343786296</v>
      </c>
      <c r="P87" s="8">
        <f t="shared" si="9"/>
        <v>63.588586956521738</v>
      </c>
    </row>
    <row r="88" spans="1:16" x14ac:dyDescent="0.35">
      <c r="A88" s="1">
        <v>5086</v>
      </c>
      <c r="B88" s="1" t="s">
        <v>61</v>
      </c>
      <c r="C88" s="1" t="s">
        <v>22</v>
      </c>
      <c r="D88" s="1" t="s">
        <v>38</v>
      </c>
      <c r="E88" s="5">
        <v>45560</v>
      </c>
      <c r="F88" s="5">
        <v>45582</v>
      </c>
      <c r="G88" s="2">
        <v>272.54000000000002</v>
      </c>
      <c r="H88" s="3">
        <v>432601</v>
      </c>
      <c r="I88" s="3">
        <v>16150</v>
      </c>
      <c r="J88" s="3">
        <v>2058</v>
      </c>
      <c r="K88" s="2">
        <v>205182.6</v>
      </c>
      <c r="L88" s="6">
        <f t="shared" si="5"/>
        <v>3.7332322394076758E-2</v>
      </c>
      <c r="M88" s="6">
        <f t="shared" si="6"/>
        <v>0.12743034055727553</v>
      </c>
      <c r="N88" s="7">
        <f t="shared" si="7"/>
        <v>752.85315916929619</v>
      </c>
      <c r="O88" s="8">
        <f t="shared" si="8"/>
        <v>1.6875541795665635E-2</v>
      </c>
      <c r="P88" s="8">
        <f t="shared" si="9"/>
        <v>0.13242954324586978</v>
      </c>
    </row>
    <row r="89" spans="1:16" x14ac:dyDescent="0.35">
      <c r="A89" s="1">
        <v>5087</v>
      </c>
      <c r="B89" s="1" t="s">
        <v>92</v>
      </c>
      <c r="C89" s="1" t="s">
        <v>25</v>
      </c>
      <c r="D89" s="1" t="s">
        <v>18</v>
      </c>
      <c r="E89" s="5">
        <v>45798</v>
      </c>
      <c r="F89" s="5">
        <v>45812</v>
      </c>
      <c r="G89" s="2">
        <v>427.87</v>
      </c>
      <c r="H89" s="3">
        <v>99970</v>
      </c>
      <c r="I89" s="3">
        <v>4016</v>
      </c>
      <c r="J89" s="3">
        <v>185</v>
      </c>
      <c r="K89" s="2">
        <v>5414.95</v>
      </c>
      <c r="L89" s="6">
        <f t="shared" si="5"/>
        <v>4.0172051615484643E-2</v>
      </c>
      <c r="M89" s="6">
        <f t="shared" si="6"/>
        <v>4.6065737051792829E-2</v>
      </c>
      <c r="N89" s="7">
        <f t="shared" si="7"/>
        <v>12.655596325986865</v>
      </c>
      <c r="O89" s="8">
        <f t="shared" si="8"/>
        <v>0.10654133466135458</v>
      </c>
      <c r="P89" s="8">
        <f t="shared" si="9"/>
        <v>2.3128108108108107</v>
      </c>
    </row>
    <row r="90" spans="1:16" x14ac:dyDescent="0.35">
      <c r="A90" s="1">
        <v>5088</v>
      </c>
      <c r="B90" s="1" t="s">
        <v>93</v>
      </c>
      <c r="C90" s="1" t="s">
        <v>25</v>
      </c>
      <c r="D90" s="1" t="s">
        <v>26</v>
      </c>
      <c r="E90" s="5">
        <v>45809</v>
      </c>
      <c r="F90" s="5">
        <v>45847</v>
      </c>
      <c r="G90" s="2">
        <v>1917.79</v>
      </c>
      <c r="H90" s="3">
        <v>257077</v>
      </c>
      <c r="I90" s="3">
        <v>11994</v>
      </c>
      <c r="J90" s="3">
        <v>911</v>
      </c>
      <c r="K90" s="2">
        <v>86053.06</v>
      </c>
      <c r="L90" s="6">
        <f t="shared" si="5"/>
        <v>4.6655282269514584E-2</v>
      </c>
      <c r="M90" s="6">
        <f t="shared" si="6"/>
        <v>7.5954643988661003E-2</v>
      </c>
      <c r="N90" s="7">
        <f t="shared" si="7"/>
        <v>44.870950416886103</v>
      </c>
      <c r="O90" s="8">
        <f t="shared" si="8"/>
        <v>0.15989578122394529</v>
      </c>
      <c r="P90" s="8">
        <f t="shared" si="9"/>
        <v>2.1051481888035126</v>
      </c>
    </row>
    <row r="91" spans="1:16" x14ac:dyDescent="0.35">
      <c r="A91" s="1">
        <v>5089</v>
      </c>
      <c r="B91" s="1" t="s">
        <v>86</v>
      </c>
      <c r="C91" s="1" t="s">
        <v>47</v>
      </c>
      <c r="D91" s="1" t="s">
        <v>26</v>
      </c>
      <c r="E91" s="5">
        <v>45710</v>
      </c>
      <c r="F91" s="5">
        <v>45722</v>
      </c>
      <c r="G91" s="2">
        <v>5139.34</v>
      </c>
      <c r="H91" s="3">
        <v>380410</v>
      </c>
      <c r="I91" s="3">
        <v>9570</v>
      </c>
      <c r="J91" s="3">
        <v>414</v>
      </c>
      <c r="K91" s="2">
        <v>12034.98</v>
      </c>
      <c r="L91" s="6">
        <f t="shared" si="5"/>
        <v>2.5157067374674692E-2</v>
      </c>
      <c r="M91" s="6">
        <f t="shared" si="6"/>
        <v>4.3260188087774293E-2</v>
      </c>
      <c r="N91" s="7">
        <f t="shared" si="7"/>
        <v>2.341736487564551</v>
      </c>
      <c r="O91" s="8">
        <f t="shared" si="8"/>
        <v>0.5370261233019854</v>
      </c>
      <c r="P91" s="8">
        <f t="shared" si="9"/>
        <v>12.413864734299517</v>
      </c>
    </row>
    <row r="92" spans="1:16" x14ac:dyDescent="0.35">
      <c r="A92" s="1">
        <v>5090</v>
      </c>
      <c r="B92" s="1" t="s">
        <v>51</v>
      </c>
      <c r="C92" s="1" t="s">
        <v>25</v>
      </c>
      <c r="D92" s="1" t="s">
        <v>26</v>
      </c>
      <c r="E92" s="5">
        <v>45652</v>
      </c>
      <c r="F92" s="5">
        <v>45678</v>
      </c>
      <c r="G92" s="2">
        <v>1148.1099999999999</v>
      </c>
      <c r="H92" s="3">
        <v>319807</v>
      </c>
      <c r="I92" s="3">
        <v>14462</v>
      </c>
      <c r="J92" s="3">
        <v>972</v>
      </c>
      <c r="K92" s="2">
        <v>64657.440000000002</v>
      </c>
      <c r="L92" s="6">
        <f t="shared" si="5"/>
        <v>4.5221023930057815E-2</v>
      </c>
      <c r="M92" s="6">
        <f t="shared" si="6"/>
        <v>6.7210620937629653E-2</v>
      </c>
      <c r="N92" s="7">
        <f t="shared" si="7"/>
        <v>56.316415674456287</v>
      </c>
      <c r="O92" s="8">
        <f t="shared" si="8"/>
        <v>7.9388051445166641E-2</v>
      </c>
      <c r="P92" s="8">
        <f t="shared" si="9"/>
        <v>1.1811831275720164</v>
      </c>
    </row>
    <row r="93" spans="1:16" x14ac:dyDescent="0.35">
      <c r="A93" s="1">
        <v>5091</v>
      </c>
      <c r="B93" s="1" t="s">
        <v>94</v>
      </c>
      <c r="C93" s="1" t="s">
        <v>37</v>
      </c>
      <c r="D93" s="1" t="s">
        <v>23</v>
      </c>
      <c r="E93" s="5">
        <v>45479</v>
      </c>
      <c r="F93" s="5">
        <v>45491</v>
      </c>
      <c r="G93" s="2">
        <v>2542.33</v>
      </c>
      <c r="H93" s="3">
        <v>85629</v>
      </c>
      <c r="I93" s="3">
        <v>1207</v>
      </c>
      <c r="J93" s="3">
        <v>35</v>
      </c>
      <c r="K93" s="2">
        <v>5812.45</v>
      </c>
      <c r="L93" s="6">
        <f t="shared" si="5"/>
        <v>1.4095691880087354E-2</v>
      </c>
      <c r="M93" s="6">
        <f t="shared" si="6"/>
        <v>2.8997514498757249E-2</v>
      </c>
      <c r="N93" s="7">
        <f t="shared" si="7"/>
        <v>2.2862688950686967</v>
      </c>
      <c r="O93" s="8">
        <f t="shared" si="8"/>
        <v>2.1063214581607288</v>
      </c>
      <c r="P93" s="8">
        <f t="shared" si="9"/>
        <v>72.637999999999991</v>
      </c>
    </row>
    <row r="94" spans="1:16" x14ac:dyDescent="0.35">
      <c r="A94" s="1">
        <v>5092</v>
      </c>
      <c r="B94" s="1" t="s">
        <v>95</v>
      </c>
      <c r="C94" s="1" t="s">
        <v>60</v>
      </c>
      <c r="D94" s="1" t="s">
        <v>20</v>
      </c>
      <c r="E94" s="5">
        <v>45503</v>
      </c>
      <c r="F94" s="5">
        <v>45529</v>
      </c>
      <c r="G94" s="2">
        <v>4691.01</v>
      </c>
      <c r="H94" s="3">
        <v>281573</v>
      </c>
      <c r="I94" s="3">
        <v>3564</v>
      </c>
      <c r="J94" s="3">
        <v>116</v>
      </c>
      <c r="K94" s="2">
        <v>7528.4</v>
      </c>
      <c r="L94" s="6">
        <f t="shared" si="5"/>
        <v>1.2657463606240656E-2</v>
      </c>
      <c r="M94" s="6">
        <f t="shared" si="6"/>
        <v>3.2547699214365879E-2</v>
      </c>
      <c r="N94" s="7">
        <f t="shared" si="7"/>
        <v>1.6048569497826692</v>
      </c>
      <c r="O94" s="8">
        <f t="shared" si="8"/>
        <v>1.3162205387205388</v>
      </c>
      <c r="P94" s="8">
        <f t="shared" si="9"/>
        <v>40.439741379310348</v>
      </c>
    </row>
    <row r="95" spans="1:16" x14ac:dyDescent="0.35">
      <c r="A95" s="1">
        <v>5093</v>
      </c>
      <c r="B95" s="1" t="s">
        <v>31</v>
      </c>
      <c r="C95" s="1" t="s">
        <v>25</v>
      </c>
      <c r="D95" s="1" t="s">
        <v>38</v>
      </c>
      <c r="E95" s="5">
        <v>45593</v>
      </c>
      <c r="F95" s="5">
        <v>45628</v>
      </c>
      <c r="G95" s="2">
        <v>1397.19</v>
      </c>
      <c r="H95" s="3">
        <v>440753</v>
      </c>
      <c r="I95" s="3">
        <v>10338</v>
      </c>
      <c r="J95" s="3">
        <v>548</v>
      </c>
      <c r="K95" s="2">
        <v>26720.48</v>
      </c>
      <c r="L95" s="6">
        <f t="shared" si="5"/>
        <v>2.3455313974039882E-2</v>
      </c>
      <c r="M95" s="6">
        <f t="shared" si="6"/>
        <v>5.3008318823757013E-2</v>
      </c>
      <c r="N95" s="7">
        <f t="shared" si="7"/>
        <v>19.124442631281358</v>
      </c>
      <c r="O95" s="8">
        <f t="shared" si="8"/>
        <v>0.13515089959373186</v>
      </c>
      <c r="P95" s="8">
        <f t="shared" si="9"/>
        <v>2.5496167883211678</v>
      </c>
    </row>
    <row r="96" spans="1:16" x14ac:dyDescent="0.35">
      <c r="A96" s="1">
        <v>5094</v>
      </c>
      <c r="B96" s="1" t="s">
        <v>96</v>
      </c>
      <c r="C96" s="1" t="s">
        <v>41</v>
      </c>
      <c r="D96" s="1" t="s">
        <v>38</v>
      </c>
      <c r="E96" s="5">
        <v>45745</v>
      </c>
      <c r="F96" s="5">
        <v>45778</v>
      </c>
      <c r="G96" s="2">
        <v>2564.6799999999998</v>
      </c>
      <c r="H96" s="3">
        <v>282143</v>
      </c>
      <c r="I96" s="3">
        <v>6378</v>
      </c>
      <c r="J96" s="3">
        <v>83</v>
      </c>
      <c r="K96" s="2">
        <v>4598.2</v>
      </c>
      <c r="L96" s="6">
        <f t="shared" si="5"/>
        <v>2.2605558174400926E-2</v>
      </c>
      <c r="M96" s="6">
        <f t="shared" si="6"/>
        <v>1.3013483850736907E-2</v>
      </c>
      <c r="N96" s="7">
        <f t="shared" si="7"/>
        <v>1.7928942402171031</v>
      </c>
      <c r="O96" s="8">
        <f t="shared" si="8"/>
        <v>0.40211351520852928</v>
      </c>
      <c r="P96" s="8">
        <f t="shared" si="9"/>
        <v>30.899759036144577</v>
      </c>
    </row>
    <row r="97" spans="1:16" x14ac:dyDescent="0.35">
      <c r="A97" s="1">
        <v>5095</v>
      </c>
      <c r="B97" s="1" t="s">
        <v>35</v>
      </c>
      <c r="C97" s="1" t="s">
        <v>22</v>
      </c>
      <c r="D97" s="1" t="s">
        <v>23</v>
      </c>
      <c r="E97" s="5">
        <v>45714</v>
      </c>
      <c r="F97" s="5">
        <v>45727</v>
      </c>
      <c r="G97" s="2">
        <v>63.01</v>
      </c>
      <c r="H97" s="3">
        <v>51651</v>
      </c>
      <c r="I97" s="3">
        <v>2982</v>
      </c>
      <c r="J97" s="3">
        <v>174</v>
      </c>
      <c r="K97" s="2">
        <v>15214.56</v>
      </c>
      <c r="L97" s="6">
        <f t="shared" si="5"/>
        <v>5.7733635360399604E-2</v>
      </c>
      <c r="M97" s="6">
        <f t="shared" si="6"/>
        <v>5.8350100603621731E-2</v>
      </c>
      <c r="N97" s="7">
        <f t="shared" si="7"/>
        <v>241.46262498016188</v>
      </c>
      <c r="O97" s="8">
        <f t="shared" si="8"/>
        <v>2.1130114017437959E-2</v>
      </c>
      <c r="P97" s="8">
        <f t="shared" si="9"/>
        <v>0.36212643678160916</v>
      </c>
    </row>
    <row r="98" spans="1:16" x14ac:dyDescent="0.35">
      <c r="A98" s="1">
        <v>5096</v>
      </c>
      <c r="B98" s="1" t="s">
        <v>97</v>
      </c>
      <c r="C98" s="1" t="s">
        <v>37</v>
      </c>
      <c r="D98" s="1" t="s">
        <v>23</v>
      </c>
      <c r="E98" s="5">
        <v>45575</v>
      </c>
      <c r="F98" s="5">
        <v>45583</v>
      </c>
      <c r="G98" s="2">
        <v>14356.63</v>
      </c>
      <c r="H98" s="3">
        <v>455766</v>
      </c>
      <c r="I98" s="3">
        <v>4856</v>
      </c>
      <c r="J98" s="3">
        <v>166</v>
      </c>
      <c r="K98" s="2">
        <v>38691.279999999999</v>
      </c>
      <c r="L98" s="6">
        <f t="shared" si="5"/>
        <v>1.0654590294142169E-2</v>
      </c>
      <c r="M98" s="6">
        <f t="shared" si="6"/>
        <v>3.4184514003294891E-2</v>
      </c>
      <c r="N98" s="7">
        <f t="shared" si="7"/>
        <v>2.6950112944333036</v>
      </c>
      <c r="O98" s="8">
        <f t="shared" si="8"/>
        <v>2.9564724052718283</v>
      </c>
      <c r="P98" s="8">
        <f t="shared" si="9"/>
        <v>86.485722891566255</v>
      </c>
    </row>
    <row r="99" spans="1:16" x14ac:dyDescent="0.35">
      <c r="A99" s="1">
        <v>5097</v>
      </c>
      <c r="B99" s="1" t="s">
        <v>98</v>
      </c>
      <c r="C99" s="1" t="s">
        <v>28</v>
      </c>
      <c r="D99" s="1" t="s">
        <v>23</v>
      </c>
      <c r="E99" s="5">
        <v>45531</v>
      </c>
      <c r="F99" s="5">
        <v>45534</v>
      </c>
      <c r="G99" s="2">
        <v>5077.34</v>
      </c>
      <c r="H99" s="3">
        <v>269641</v>
      </c>
      <c r="I99" s="3">
        <v>17842</v>
      </c>
      <c r="J99" s="3">
        <v>1167</v>
      </c>
      <c r="K99" s="2">
        <v>118835.61</v>
      </c>
      <c r="L99" s="6">
        <f t="shared" si="5"/>
        <v>6.6169462359210951E-2</v>
      </c>
      <c r="M99" s="6">
        <f t="shared" si="6"/>
        <v>6.5407465530770093E-2</v>
      </c>
      <c r="N99" s="7">
        <f t="shared" si="7"/>
        <v>23.405092036381255</v>
      </c>
      <c r="O99" s="8">
        <f t="shared" si="8"/>
        <v>0.28457235735904046</v>
      </c>
      <c r="P99" s="8">
        <f t="shared" si="9"/>
        <v>4.3507626392459295</v>
      </c>
    </row>
    <row r="100" spans="1:16" x14ac:dyDescent="0.35">
      <c r="A100" s="1">
        <v>5098</v>
      </c>
      <c r="B100" s="1" t="s">
        <v>88</v>
      </c>
      <c r="C100" s="1" t="s">
        <v>60</v>
      </c>
      <c r="D100" s="1" t="s">
        <v>18</v>
      </c>
      <c r="E100" s="5">
        <v>45789</v>
      </c>
      <c r="F100" s="5">
        <v>45817</v>
      </c>
      <c r="G100" s="2">
        <v>2018.63</v>
      </c>
      <c r="H100" s="3">
        <v>138833</v>
      </c>
      <c r="I100" s="3">
        <v>1980</v>
      </c>
      <c r="J100" s="3">
        <v>28</v>
      </c>
      <c r="K100" s="2">
        <v>936.6</v>
      </c>
      <c r="L100" s="6">
        <f t="shared" si="5"/>
        <v>1.4261738923742915E-2</v>
      </c>
      <c r="M100" s="6">
        <f t="shared" si="6"/>
        <v>1.4141414141414142E-2</v>
      </c>
      <c r="N100" s="7">
        <f t="shared" si="7"/>
        <v>0.46397804451533958</v>
      </c>
      <c r="O100" s="8">
        <f t="shared" si="8"/>
        <v>1.0195101010101011</v>
      </c>
      <c r="P100" s="8">
        <f t="shared" si="9"/>
        <v>72.093928571428577</v>
      </c>
    </row>
    <row r="101" spans="1:16" x14ac:dyDescent="0.35">
      <c r="A101" s="1">
        <v>5099</v>
      </c>
      <c r="B101" s="1" t="s">
        <v>99</v>
      </c>
      <c r="C101" s="1" t="s">
        <v>60</v>
      </c>
      <c r="D101" s="1" t="s">
        <v>18</v>
      </c>
      <c r="E101" s="5">
        <v>45787</v>
      </c>
      <c r="F101" s="5">
        <v>45832</v>
      </c>
      <c r="G101" s="2">
        <v>1650.51</v>
      </c>
      <c r="H101" s="3">
        <v>138698</v>
      </c>
      <c r="I101" s="3">
        <v>2631</v>
      </c>
      <c r="J101" s="3">
        <v>67</v>
      </c>
      <c r="K101" s="2">
        <v>5360.67</v>
      </c>
      <c r="L101" s="6">
        <f t="shared" si="5"/>
        <v>1.8969271366566207E-2</v>
      </c>
      <c r="M101" s="6">
        <f t="shared" si="6"/>
        <v>2.5465602432535157E-2</v>
      </c>
      <c r="N101" s="7">
        <f t="shared" si="7"/>
        <v>3.2478870167402802</v>
      </c>
      <c r="O101" s="8">
        <f t="shared" si="8"/>
        <v>0.62733181299885976</v>
      </c>
      <c r="P101" s="8">
        <f t="shared" si="9"/>
        <v>24.634477611940298</v>
      </c>
    </row>
    <row r="102" spans="1:16" x14ac:dyDescent="0.35">
      <c r="A102" s="1">
        <v>5100</v>
      </c>
      <c r="B102" s="1" t="s">
        <v>77</v>
      </c>
      <c r="C102" s="1" t="s">
        <v>22</v>
      </c>
      <c r="D102" s="1" t="s">
        <v>26</v>
      </c>
      <c r="E102" s="5">
        <v>45629</v>
      </c>
      <c r="F102" s="5">
        <v>45648</v>
      </c>
      <c r="G102" s="2">
        <v>178.32</v>
      </c>
      <c r="H102" s="3">
        <v>198133</v>
      </c>
      <c r="I102" s="3">
        <v>11576</v>
      </c>
      <c r="J102" s="3">
        <v>1076</v>
      </c>
      <c r="K102" s="2">
        <v>68347.520000000004</v>
      </c>
      <c r="L102" s="6">
        <f t="shared" si="5"/>
        <v>5.842540111945007E-2</v>
      </c>
      <c r="M102" s="6">
        <f t="shared" si="6"/>
        <v>9.2950932964754665E-2</v>
      </c>
      <c r="N102" s="7">
        <f t="shared" si="7"/>
        <v>383.28577837595338</v>
      </c>
      <c r="O102" s="8">
        <f t="shared" si="8"/>
        <v>1.5404284727021423E-2</v>
      </c>
      <c r="P102" s="8">
        <f t="shared" si="9"/>
        <v>0.16572490706319701</v>
      </c>
    </row>
    <row r="103" spans="1:16" x14ac:dyDescent="0.35">
      <c r="A103" s="1">
        <v>5101</v>
      </c>
      <c r="B103" s="1" t="s">
        <v>100</v>
      </c>
      <c r="C103" s="1" t="s">
        <v>17</v>
      </c>
      <c r="D103" s="1" t="s">
        <v>23</v>
      </c>
      <c r="E103" s="5">
        <v>45539</v>
      </c>
      <c r="F103" s="5">
        <v>45548</v>
      </c>
      <c r="G103" s="2">
        <v>1918.34</v>
      </c>
      <c r="H103" s="3">
        <v>177460</v>
      </c>
      <c r="I103" s="3">
        <v>3855</v>
      </c>
      <c r="J103" s="3">
        <v>178</v>
      </c>
      <c r="K103" s="2">
        <v>5388.06</v>
      </c>
      <c r="L103" s="6">
        <f t="shared" si="5"/>
        <v>2.172320522934746E-2</v>
      </c>
      <c r="M103" s="6">
        <f t="shared" si="6"/>
        <v>4.6173800259403375E-2</v>
      </c>
      <c r="N103" s="7">
        <f t="shared" si="7"/>
        <v>2.8087096135200227</v>
      </c>
      <c r="O103" s="8">
        <f t="shared" si="8"/>
        <v>0.49762386511024642</v>
      </c>
      <c r="P103" s="8">
        <f t="shared" si="9"/>
        <v>10.777191011235955</v>
      </c>
    </row>
    <row r="104" spans="1:16" x14ac:dyDescent="0.35">
      <c r="A104" s="1">
        <v>5102</v>
      </c>
      <c r="B104" s="1" t="s">
        <v>90</v>
      </c>
      <c r="C104" s="1" t="s">
        <v>41</v>
      </c>
      <c r="D104" s="1" t="s">
        <v>20</v>
      </c>
      <c r="E104" s="5">
        <v>45813</v>
      </c>
      <c r="F104" s="5">
        <v>45854</v>
      </c>
      <c r="G104" s="2">
        <v>406.28</v>
      </c>
      <c r="H104" s="3">
        <v>46273</v>
      </c>
      <c r="I104" s="3">
        <v>509</v>
      </c>
      <c r="J104" s="3">
        <v>4</v>
      </c>
      <c r="K104" s="2">
        <v>181.2</v>
      </c>
      <c r="L104" s="6">
        <f t="shared" si="5"/>
        <v>1.0999935167376223E-2</v>
      </c>
      <c r="M104" s="6">
        <f t="shared" si="6"/>
        <v>7.8585461689587421E-3</v>
      </c>
      <c r="N104" s="7">
        <f t="shared" si="7"/>
        <v>0.44599783400610415</v>
      </c>
      <c r="O104" s="8">
        <f t="shared" si="8"/>
        <v>0.79819253438113946</v>
      </c>
      <c r="P104" s="8">
        <f t="shared" si="9"/>
        <v>101.57</v>
      </c>
    </row>
    <row r="105" spans="1:16" x14ac:dyDescent="0.35">
      <c r="A105" s="1">
        <v>5103</v>
      </c>
      <c r="B105" s="1" t="s">
        <v>83</v>
      </c>
      <c r="C105" s="1" t="s">
        <v>17</v>
      </c>
      <c r="D105" s="1" t="s">
        <v>23</v>
      </c>
      <c r="E105" s="5">
        <v>45636</v>
      </c>
      <c r="F105" s="5">
        <v>45658</v>
      </c>
      <c r="G105" s="2">
        <v>3520.17</v>
      </c>
      <c r="H105" s="3">
        <v>245137</v>
      </c>
      <c r="I105" s="3">
        <v>6092</v>
      </c>
      <c r="J105" s="3">
        <v>300</v>
      </c>
      <c r="K105" s="2">
        <v>8628</v>
      </c>
      <c r="L105" s="6">
        <f t="shared" si="5"/>
        <v>2.4851409619926816E-2</v>
      </c>
      <c r="M105" s="6">
        <f t="shared" si="6"/>
        <v>4.9244911359159552E-2</v>
      </c>
      <c r="N105" s="7">
        <f t="shared" si="7"/>
        <v>2.451017990608408</v>
      </c>
      <c r="O105" s="8">
        <f t="shared" si="8"/>
        <v>0.57783486539724227</v>
      </c>
      <c r="P105" s="8">
        <f t="shared" si="9"/>
        <v>11.7339</v>
      </c>
    </row>
    <row r="106" spans="1:16" x14ac:dyDescent="0.35">
      <c r="A106" s="1">
        <v>5104</v>
      </c>
      <c r="B106" s="1" t="s">
        <v>101</v>
      </c>
      <c r="C106" s="1" t="s">
        <v>60</v>
      </c>
      <c r="D106" s="1" t="s">
        <v>18</v>
      </c>
      <c r="E106" s="5">
        <v>45650</v>
      </c>
      <c r="F106" s="5">
        <v>45677</v>
      </c>
      <c r="G106" s="2">
        <v>2899.14</v>
      </c>
      <c r="H106" s="3">
        <v>181764</v>
      </c>
      <c r="I106" s="3">
        <v>1231</v>
      </c>
      <c r="J106" s="3">
        <v>32</v>
      </c>
      <c r="K106" s="2">
        <v>2083.52</v>
      </c>
      <c r="L106" s="6">
        <f t="shared" si="5"/>
        <v>6.7725182104267072E-3</v>
      </c>
      <c r="M106" s="6">
        <f t="shared" si="6"/>
        <v>2.5995125913891144E-2</v>
      </c>
      <c r="N106" s="7">
        <f t="shared" si="7"/>
        <v>0.71866829473568028</v>
      </c>
      <c r="O106" s="8">
        <f t="shared" si="8"/>
        <v>2.3551096669374489</v>
      </c>
      <c r="P106" s="8">
        <f t="shared" si="9"/>
        <v>90.598124999999996</v>
      </c>
    </row>
    <row r="107" spans="1:16" x14ac:dyDescent="0.35">
      <c r="A107" s="1">
        <v>5105</v>
      </c>
      <c r="B107" s="1" t="s">
        <v>102</v>
      </c>
      <c r="C107" s="1" t="s">
        <v>28</v>
      </c>
      <c r="D107" s="1" t="s">
        <v>26</v>
      </c>
      <c r="E107" s="5">
        <v>45464</v>
      </c>
      <c r="F107" s="5">
        <v>45474</v>
      </c>
      <c r="G107" s="2">
        <v>4121.8</v>
      </c>
      <c r="H107" s="3">
        <v>201851</v>
      </c>
      <c r="I107" s="3">
        <v>13733</v>
      </c>
      <c r="J107" s="3">
        <v>736</v>
      </c>
      <c r="K107" s="2">
        <v>48664.32</v>
      </c>
      <c r="L107" s="6">
        <f t="shared" si="5"/>
        <v>6.8035332993148415E-2</v>
      </c>
      <c r="M107" s="6">
        <f t="shared" si="6"/>
        <v>5.3593533823636498E-2</v>
      </c>
      <c r="N107" s="7">
        <f t="shared" si="7"/>
        <v>11.806569945169585</v>
      </c>
      <c r="O107" s="8">
        <f t="shared" si="8"/>
        <v>0.30013835287264257</v>
      </c>
      <c r="P107" s="8">
        <f t="shared" si="9"/>
        <v>5.6002717391304353</v>
      </c>
    </row>
    <row r="108" spans="1:16" x14ac:dyDescent="0.35">
      <c r="A108" s="1">
        <v>5106</v>
      </c>
      <c r="B108" s="1" t="s">
        <v>42</v>
      </c>
      <c r="C108" s="1" t="s">
        <v>37</v>
      </c>
      <c r="D108" s="1" t="s">
        <v>26</v>
      </c>
      <c r="E108" s="5">
        <v>45816</v>
      </c>
      <c r="F108" s="5">
        <v>45844</v>
      </c>
      <c r="G108" s="2">
        <v>536.62</v>
      </c>
      <c r="H108" s="3">
        <v>30215</v>
      </c>
      <c r="I108" s="3">
        <v>370</v>
      </c>
      <c r="J108" s="3">
        <v>14</v>
      </c>
      <c r="K108" s="2">
        <v>2234.4</v>
      </c>
      <c r="L108" s="6">
        <f t="shared" si="5"/>
        <v>1.2245573390699984E-2</v>
      </c>
      <c r="M108" s="6">
        <f t="shared" si="6"/>
        <v>3.783783783783784E-2</v>
      </c>
      <c r="N108" s="7">
        <f t="shared" si="7"/>
        <v>4.1638403339420824</v>
      </c>
      <c r="O108" s="8">
        <f t="shared" si="8"/>
        <v>1.4503243243243242</v>
      </c>
      <c r="P108" s="8">
        <f t="shared" si="9"/>
        <v>38.33</v>
      </c>
    </row>
    <row r="109" spans="1:16" x14ac:dyDescent="0.35">
      <c r="A109" s="1">
        <v>5107</v>
      </c>
      <c r="B109" s="1" t="s">
        <v>45</v>
      </c>
      <c r="C109" s="1" t="s">
        <v>41</v>
      </c>
      <c r="D109" s="1" t="s">
        <v>20</v>
      </c>
      <c r="E109" s="5">
        <v>45489</v>
      </c>
      <c r="F109" s="5">
        <v>45512</v>
      </c>
      <c r="G109" s="2">
        <v>3866.42</v>
      </c>
      <c r="H109" s="3">
        <v>443906</v>
      </c>
      <c r="I109" s="3">
        <v>5789</v>
      </c>
      <c r="J109" s="3">
        <v>97</v>
      </c>
      <c r="K109" s="2">
        <v>4319.41</v>
      </c>
      <c r="L109" s="6">
        <f t="shared" si="5"/>
        <v>1.304104923114353E-2</v>
      </c>
      <c r="M109" s="6">
        <f t="shared" si="6"/>
        <v>1.6755916393159442E-2</v>
      </c>
      <c r="N109" s="7">
        <f t="shared" si="7"/>
        <v>1.1171600602107374</v>
      </c>
      <c r="O109" s="8">
        <f t="shared" si="8"/>
        <v>0.66789082743133532</v>
      </c>
      <c r="P109" s="8">
        <f t="shared" si="9"/>
        <v>39.86</v>
      </c>
    </row>
    <row r="110" spans="1:16" x14ac:dyDescent="0.35">
      <c r="A110" s="1">
        <v>5108</v>
      </c>
      <c r="B110" s="1" t="s">
        <v>42</v>
      </c>
      <c r="C110" s="1" t="s">
        <v>37</v>
      </c>
      <c r="D110" s="1" t="s">
        <v>20</v>
      </c>
      <c r="E110" s="5">
        <v>45473</v>
      </c>
      <c r="F110" s="5">
        <v>45502</v>
      </c>
      <c r="G110" s="2">
        <v>3663.39</v>
      </c>
      <c r="H110" s="3">
        <v>129540</v>
      </c>
      <c r="I110" s="3">
        <v>1436</v>
      </c>
      <c r="J110" s="3">
        <v>16</v>
      </c>
      <c r="K110" s="2">
        <v>3373.92</v>
      </c>
      <c r="L110" s="6">
        <f t="shared" si="5"/>
        <v>1.1085379033503165E-2</v>
      </c>
      <c r="M110" s="6">
        <f t="shared" si="6"/>
        <v>1.1142061281337047E-2</v>
      </c>
      <c r="N110" s="7">
        <f t="shared" si="7"/>
        <v>0.92098302392046716</v>
      </c>
      <c r="O110" s="8">
        <f t="shared" si="8"/>
        <v>2.5511072423398327</v>
      </c>
      <c r="P110" s="8">
        <f t="shared" si="9"/>
        <v>228.96187499999999</v>
      </c>
    </row>
    <row r="111" spans="1:16" x14ac:dyDescent="0.35">
      <c r="A111" s="1">
        <v>5109</v>
      </c>
      <c r="B111" s="1" t="s">
        <v>54</v>
      </c>
      <c r="C111" s="1" t="s">
        <v>37</v>
      </c>
      <c r="D111" s="1" t="s">
        <v>23</v>
      </c>
      <c r="E111" s="5">
        <v>45578</v>
      </c>
      <c r="F111" s="5">
        <v>45598</v>
      </c>
      <c r="G111" s="2">
        <v>10075.91</v>
      </c>
      <c r="H111" s="3">
        <v>303035</v>
      </c>
      <c r="I111" s="3">
        <v>3862</v>
      </c>
      <c r="J111" s="3">
        <v>88</v>
      </c>
      <c r="K111" s="2">
        <v>18337.439999999999</v>
      </c>
      <c r="L111" s="6">
        <f t="shared" si="5"/>
        <v>1.2744402461761842E-2</v>
      </c>
      <c r="M111" s="6">
        <f t="shared" si="6"/>
        <v>2.2786121180735371E-2</v>
      </c>
      <c r="N111" s="7">
        <f t="shared" si="7"/>
        <v>1.8199289195715325</v>
      </c>
      <c r="O111" s="8">
        <f t="shared" si="8"/>
        <v>2.6089875712066286</v>
      </c>
      <c r="P111" s="8">
        <f t="shared" si="9"/>
        <v>114.49897727272727</v>
      </c>
    </row>
    <row r="112" spans="1:16" x14ac:dyDescent="0.35">
      <c r="A112" s="1">
        <v>5110</v>
      </c>
      <c r="B112" s="1" t="s">
        <v>103</v>
      </c>
      <c r="C112" s="1" t="s">
        <v>60</v>
      </c>
      <c r="D112" s="1" t="s">
        <v>18</v>
      </c>
      <c r="E112" s="5">
        <v>45619</v>
      </c>
      <c r="F112" s="5">
        <v>45634</v>
      </c>
      <c r="G112" s="2">
        <v>1561.61</v>
      </c>
      <c r="H112" s="3">
        <v>166129</v>
      </c>
      <c r="I112" s="3">
        <v>1733</v>
      </c>
      <c r="J112" s="3">
        <v>51</v>
      </c>
      <c r="K112" s="2">
        <v>3720.45</v>
      </c>
      <c r="L112" s="6">
        <f t="shared" si="5"/>
        <v>1.0431652511000488E-2</v>
      </c>
      <c r="M112" s="6">
        <f t="shared" si="6"/>
        <v>2.9428736295441432E-2</v>
      </c>
      <c r="N112" s="7">
        <f t="shared" si="7"/>
        <v>2.3824450406951798</v>
      </c>
      <c r="O112" s="8">
        <f t="shared" si="8"/>
        <v>0.90110213502596648</v>
      </c>
      <c r="P112" s="8">
        <f t="shared" si="9"/>
        <v>30.619803921568625</v>
      </c>
    </row>
    <row r="113" spans="1:16" x14ac:dyDescent="0.35">
      <c r="A113" s="1">
        <v>5111</v>
      </c>
      <c r="B113" s="1" t="s">
        <v>24</v>
      </c>
      <c r="C113" s="1" t="s">
        <v>25</v>
      </c>
      <c r="D113" s="1" t="s">
        <v>26</v>
      </c>
      <c r="E113" s="5">
        <v>45490</v>
      </c>
      <c r="F113" s="5">
        <v>45510</v>
      </c>
      <c r="G113" s="2">
        <v>185.81</v>
      </c>
      <c r="H113" s="3">
        <v>38549</v>
      </c>
      <c r="I113" s="3">
        <v>1474</v>
      </c>
      <c r="J113" s="3">
        <v>109</v>
      </c>
      <c r="K113" s="2">
        <v>11497.32</v>
      </c>
      <c r="L113" s="6">
        <f t="shared" si="5"/>
        <v>3.8237048950686137E-2</v>
      </c>
      <c r="M113" s="6">
        <f t="shared" si="6"/>
        <v>7.3948439620081408E-2</v>
      </c>
      <c r="N113" s="7">
        <f t="shared" si="7"/>
        <v>61.876755825843603</v>
      </c>
      <c r="O113" s="8">
        <f t="shared" si="8"/>
        <v>0.12605834464043419</v>
      </c>
      <c r="P113" s="8">
        <f t="shared" si="9"/>
        <v>1.7046788990825688</v>
      </c>
    </row>
    <row r="114" spans="1:16" x14ac:dyDescent="0.35">
      <c r="A114" s="1">
        <v>5112</v>
      </c>
      <c r="B114" s="1" t="s">
        <v>104</v>
      </c>
      <c r="C114" s="1" t="s">
        <v>60</v>
      </c>
      <c r="D114" s="1" t="s">
        <v>38</v>
      </c>
      <c r="E114" s="5">
        <v>45560</v>
      </c>
      <c r="F114" s="5">
        <v>45596</v>
      </c>
      <c r="G114" s="2">
        <v>2071.29</v>
      </c>
      <c r="H114" s="3">
        <v>138086</v>
      </c>
      <c r="I114" s="3">
        <v>847</v>
      </c>
      <c r="J114" s="3">
        <v>26</v>
      </c>
      <c r="K114" s="2">
        <v>842.14</v>
      </c>
      <c r="L114" s="6">
        <f t="shared" si="5"/>
        <v>6.1338586098518312E-3</v>
      </c>
      <c r="M114" s="6">
        <f t="shared" si="6"/>
        <v>3.0696576151121605E-2</v>
      </c>
      <c r="N114" s="7">
        <f t="shared" si="7"/>
        <v>0.40657754346325237</v>
      </c>
      <c r="O114" s="8">
        <f t="shared" si="8"/>
        <v>2.4454427390791027</v>
      </c>
      <c r="P114" s="8">
        <f t="shared" si="9"/>
        <v>79.664999999999992</v>
      </c>
    </row>
    <row r="115" spans="1:16" x14ac:dyDescent="0.35">
      <c r="A115" s="1">
        <v>5113</v>
      </c>
      <c r="B115" s="1" t="s">
        <v>102</v>
      </c>
      <c r="C115" s="1" t="s">
        <v>28</v>
      </c>
      <c r="D115" s="1" t="s">
        <v>23</v>
      </c>
      <c r="E115" s="5">
        <v>45765</v>
      </c>
      <c r="F115" s="5">
        <v>45793</v>
      </c>
      <c r="G115" s="2">
        <v>2744.85</v>
      </c>
      <c r="H115" s="3">
        <v>279801</v>
      </c>
      <c r="I115" s="3">
        <v>14807</v>
      </c>
      <c r="J115" s="3">
        <v>1425</v>
      </c>
      <c r="K115" s="2">
        <v>94021.5</v>
      </c>
      <c r="L115" s="6">
        <f t="shared" si="5"/>
        <v>5.291975368208119E-2</v>
      </c>
      <c r="M115" s="6">
        <f t="shared" si="6"/>
        <v>9.6238265685148913E-2</v>
      </c>
      <c r="N115" s="7">
        <f t="shared" si="7"/>
        <v>34.253784359801081</v>
      </c>
      <c r="O115" s="8">
        <f t="shared" si="8"/>
        <v>0.18537516039710947</v>
      </c>
      <c r="P115" s="8">
        <f t="shared" si="9"/>
        <v>1.9262105263157894</v>
      </c>
    </row>
    <row r="116" spans="1:16" x14ac:dyDescent="0.35">
      <c r="A116" s="1">
        <v>5114</v>
      </c>
      <c r="B116" s="1" t="s">
        <v>105</v>
      </c>
      <c r="C116" s="1" t="s">
        <v>17</v>
      </c>
      <c r="D116" s="1" t="s">
        <v>26</v>
      </c>
      <c r="E116" s="5">
        <v>45760</v>
      </c>
      <c r="F116" s="5">
        <v>45788</v>
      </c>
      <c r="G116" s="2">
        <v>4566.08</v>
      </c>
      <c r="H116" s="3">
        <v>498480</v>
      </c>
      <c r="I116" s="3">
        <v>14580</v>
      </c>
      <c r="J116" s="3">
        <v>707</v>
      </c>
      <c r="K116" s="2">
        <v>35060.129999999997</v>
      </c>
      <c r="L116" s="6">
        <f t="shared" si="5"/>
        <v>2.9248916706788638E-2</v>
      </c>
      <c r="M116" s="6">
        <f t="shared" si="6"/>
        <v>4.8491083676268865E-2</v>
      </c>
      <c r="N116" s="7">
        <f t="shared" si="7"/>
        <v>7.6783871504660448</v>
      </c>
      <c r="O116" s="8">
        <f t="shared" si="8"/>
        <v>0.31317421124828532</v>
      </c>
      <c r="P116" s="8">
        <f t="shared" si="9"/>
        <v>6.4583875530410184</v>
      </c>
    </row>
    <row r="117" spans="1:16" x14ac:dyDescent="0.35">
      <c r="A117" s="1">
        <v>5115</v>
      </c>
      <c r="B117" s="1" t="s">
        <v>106</v>
      </c>
      <c r="C117" s="1" t="s">
        <v>22</v>
      </c>
      <c r="D117" s="1" t="s">
        <v>23</v>
      </c>
      <c r="E117" s="5">
        <v>45549</v>
      </c>
      <c r="F117" s="5">
        <v>45553</v>
      </c>
      <c r="G117" s="2">
        <v>99.2</v>
      </c>
      <c r="H117" s="3">
        <v>90179</v>
      </c>
      <c r="I117" s="3">
        <v>4142</v>
      </c>
      <c r="J117" s="3">
        <v>249</v>
      </c>
      <c r="K117" s="2">
        <v>12459.96</v>
      </c>
      <c r="L117" s="6">
        <f t="shared" si="5"/>
        <v>4.5930870823584206E-2</v>
      </c>
      <c r="M117" s="6">
        <f t="shared" si="6"/>
        <v>6.01158860453887E-2</v>
      </c>
      <c r="N117" s="7">
        <f t="shared" si="7"/>
        <v>125.60443548387096</v>
      </c>
      <c r="O117" s="8">
        <f t="shared" si="8"/>
        <v>2.3949782713664897E-2</v>
      </c>
      <c r="P117" s="8">
        <f t="shared" si="9"/>
        <v>0.39839357429718875</v>
      </c>
    </row>
    <row r="118" spans="1:16" x14ac:dyDescent="0.35">
      <c r="A118" s="1">
        <v>5116</v>
      </c>
      <c r="B118" s="1" t="s">
        <v>50</v>
      </c>
      <c r="C118" s="1" t="s">
        <v>22</v>
      </c>
      <c r="D118" s="1" t="s">
        <v>20</v>
      </c>
      <c r="E118" s="5">
        <v>45649</v>
      </c>
      <c r="F118" s="5">
        <v>45670</v>
      </c>
      <c r="G118" s="2">
        <v>875.12</v>
      </c>
      <c r="H118" s="3">
        <v>441978</v>
      </c>
      <c r="I118" s="3">
        <v>10485</v>
      </c>
      <c r="J118" s="3">
        <v>1030</v>
      </c>
      <c r="K118" s="2">
        <v>46556</v>
      </c>
      <c r="L118" s="6">
        <f t="shared" si="5"/>
        <v>2.3722900234853319E-2</v>
      </c>
      <c r="M118" s="6">
        <f t="shared" si="6"/>
        <v>9.8235574630424413E-2</v>
      </c>
      <c r="N118" s="7">
        <f t="shared" si="7"/>
        <v>53.19956120303501</v>
      </c>
      <c r="O118" s="8">
        <f t="shared" si="8"/>
        <v>8.3463996185026229E-2</v>
      </c>
      <c r="P118" s="8">
        <f t="shared" si="9"/>
        <v>0.84963106796116505</v>
      </c>
    </row>
    <row r="119" spans="1:16" x14ac:dyDescent="0.35">
      <c r="A119" s="1">
        <v>5117</v>
      </c>
      <c r="B119" s="1" t="s">
        <v>107</v>
      </c>
      <c r="C119" s="1" t="s">
        <v>47</v>
      </c>
      <c r="D119" s="1" t="s">
        <v>23</v>
      </c>
      <c r="E119" s="5">
        <v>45692</v>
      </c>
      <c r="F119" s="5">
        <v>45719</v>
      </c>
      <c r="G119" s="2">
        <v>2358.5300000000002</v>
      </c>
      <c r="H119" s="3">
        <v>223769</v>
      </c>
      <c r="I119" s="3">
        <v>3875</v>
      </c>
      <c r="J119" s="3">
        <v>123</v>
      </c>
      <c r="K119" s="2">
        <v>6894.15</v>
      </c>
      <c r="L119" s="6">
        <f t="shared" si="5"/>
        <v>1.7316965263284904E-2</v>
      </c>
      <c r="M119" s="6">
        <f t="shared" si="6"/>
        <v>3.174193548387097E-2</v>
      </c>
      <c r="N119" s="7">
        <f t="shared" si="7"/>
        <v>2.9230707262574565</v>
      </c>
      <c r="O119" s="8">
        <f t="shared" si="8"/>
        <v>0.60865290322580645</v>
      </c>
      <c r="P119" s="8">
        <f t="shared" si="9"/>
        <v>19.175040650406505</v>
      </c>
    </row>
    <row r="120" spans="1:16" x14ac:dyDescent="0.35">
      <c r="A120" s="1">
        <v>5118</v>
      </c>
      <c r="B120" s="1" t="s">
        <v>108</v>
      </c>
      <c r="C120" s="1" t="s">
        <v>47</v>
      </c>
      <c r="D120" s="1" t="s">
        <v>26</v>
      </c>
      <c r="E120" s="5">
        <v>45509</v>
      </c>
      <c r="F120" s="5">
        <v>45514</v>
      </c>
      <c r="G120" s="2">
        <v>2832.73</v>
      </c>
      <c r="H120" s="3">
        <v>256124</v>
      </c>
      <c r="I120" s="3">
        <v>5864</v>
      </c>
      <c r="J120" s="3">
        <v>243</v>
      </c>
      <c r="K120" s="2">
        <v>11051.64</v>
      </c>
      <c r="L120" s="6">
        <f t="shared" si="5"/>
        <v>2.2895160156799051E-2</v>
      </c>
      <c r="M120" s="6">
        <f t="shared" si="6"/>
        <v>4.143929058663029E-2</v>
      </c>
      <c r="N120" s="7">
        <f t="shared" si="7"/>
        <v>3.9014095942783107</v>
      </c>
      <c r="O120" s="8">
        <f t="shared" si="8"/>
        <v>0.48307128240109143</v>
      </c>
      <c r="P120" s="8">
        <f t="shared" si="9"/>
        <v>11.657325102880659</v>
      </c>
    </row>
    <row r="121" spans="1:16" x14ac:dyDescent="0.35">
      <c r="A121" s="1">
        <v>5119</v>
      </c>
      <c r="B121" s="1" t="s">
        <v>109</v>
      </c>
      <c r="C121" s="1" t="s">
        <v>28</v>
      </c>
      <c r="D121" s="1" t="s">
        <v>20</v>
      </c>
      <c r="E121" s="5">
        <v>45582</v>
      </c>
      <c r="F121" s="5">
        <v>45625</v>
      </c>
      <c r="G121" s="2">
        <v>7321.3</v>
      </c>
      <c r="H121" s="3">
        <v>361903</v>
      </c>
      <c r="I121" s="3">
        <v>8330</v>
      </c>
      <c r="J121" s="3">
        <v>683</v>
      </c>
      <c r="K121" s="2">
        <v>39340.800000000003</v>
      </c>
      <c r="L121" s="6">
        <f t="shared" si="5"/>
        <v>2.3017217320663273E-2</v>
      </c>
      <c r="M121" s="6">
        <f t="shared" si="6"/>
        <v>8.1992797118847535E-2</v>
      </c>
      <c r="N121" s="7">
        <f t="shared" si="7"/>
        <v>5.3734719243850142</v>
      </c>
      <c r="O121" s="8">
        <f t="shared" si="8"/>
        <v>0.87890756302521011</v>
      </c>
      <c r="P121" s="8">
        <f t="shared" si="9"/>
        <v>10.719326500732064</v>
      </c>
    </row>
    <row r="122" spans="1:16" x14ac:dyDescent="0.35">
      <c r="A122" s="1">
        <v>5120</v>
      </c>
      <c r="B122" s="1" t="s">
        <v>110</v>
      </c>
      <c r="C122" s="1" t="s">
        <v>17</v>
      </c>
      <c r="D122" s="1" t="s">
        <v>20</v>
      </c>
      <c r="E122" s="5">
        <v>45530</v>
      </c>
      <c r="F122" s="5">
        <v>45569</v>
      </c>
      <c r="G122" s="2">
        <v>236.36</v>
      </c>
      <c r="H122" s="3">
        <v>21160</v>
      </c>
      <c r="I122" s="3">
        <v>547</v>
      </c>
      <c r="J122" s="3">
        <v>16</v>
      </c>
      <c r="K122" s="2">
        <v>475.2</v>
      </c>
      <c r="L122" s="6">
        <f t="shared" si="5"/>
        <v>2.5850661625708884E-2</v>
      </c>
      <c r="M122" s="6">
        <f t="shared" si="6"/>
        <v>2.9250457038391225E-2</v>
      </c>
      <c r="N122" s="7">
        <f t="shared" si="7"/>
        <v>2.0104924691149093</v>
      </c>
      <c r="O122" s="8">
        <f t="shared" si="8"/>
        <v>0.43210237659963441</v>
      </c>
      <c r="P122" s="8">
        <f t="shared" si="9"/>
        <v>14.772500000000001</v>
      </c>
    </row>
    <row r="123" spans="1:16" x14ac:dyDescent="0.35">
      <c r="A123" s="1">
        <v>5121</v>
      </c>
      <c r="B123" s="1" t="s">
        <v>50</v>
      </c>
      <c r="C123" s="1" t="s">
        <v>22</v>
      </c>
      <c r="D123" s="1" t="s">
        <v>26</v>
      </c>
      <c r="E123" s="5">
        <v>45576</v>
      </c>
      <c r="F123" s="5">
        <v>45606</v>
      </c>
      <c r="G123" s="2">
        <v>391.5</v>
      </c>
      <c r="H123" s="3">
        <v>365889</v>
      </c>
      <c r="I123" s="3">
        <v>16658</v>
      </c>
      <c r="J123" s="3">
        <v>811</v>
      </c>
      <c r="K123" s="2">
        <v>52163.519999999997</v>
      </c>
      <c r="L123" s="6">
        <f t="shared" si="5"/>
        <v>4.5527468713188975E-2</v>
      </c>
      <c r="M123" s="6">
        <f t="shared" si="6"/>
        <v>4.8685316364509547E-2</v>
      </c>
      <c r="N123" s="7">
        <f t="shared" si="7"/>
        <v>133.24015325670499</v>
      </c>
      <c r="O123" s="8">
        <f t="shared" si="8"/>
        <v>2.3502221155000599E-2</v>
      </c>
      <c r="P123" s="8">
        <f t="shared" si="9"/>
        <v>0.48273736128236744</v>
      </c>
    </row>
    <row r="124" spans="1:16" x14ac:dyDescent="0.35">
      <c r="A124" s="1">
        <v>5122</v>
      </c>
      <c r="B124" s="1" t="s">
        <v>111</v>
      </c>
      <c r="C124" s="1" t="s">
        <v>25</v>
      </c>
      <c r="D124" s="1" t="s">
        <v>38</v>
      </c>
      <c r="E124" s="5">
        <v>45692</v>
      </c>
      <c r="F124" s="5">
        <v>45735</v>
      </c>
      <c r="G124" s="2">
        <v>1284.8900000000001</v>
      </c>
      <c r="H124" s="3">
        <v>389362</v>
      </c>
      <c r="I124" s="3">
        <v>17440</v>
      </c>
      <c r="J124" s="3">
        <v>603</v>
      </c>
      <c r="K124" s="2">
        <v>49174.65</v>
      </c>
      <c r="L124" s="6">
        <f t="shared" si="5"/>
        <v>4.4791222564092029E-2</v>
      </c>
      <c r="M124" s="6">
        <f t="shared" si="6"/>
        <v>3.4575688073394492E-2</v>
      </c>
      <c r="N124" s="7">
        <f t="shared" si="7"/>
        <v>38.271486275089693</v>
      </c>
      <c r="O124" s="8">
        <f t="shared" si="8"/>
        <v>7.3674885321100919E-2</v>
      </c>
      <c r="P124" s="8">
        <f t="shared" si="9"/>
        <v>2.1308291873963516</v>
      </c>
    </row>
    <row r="125" spans="1:16" x14ac:dyDescent="0.35">
      <c r="A125" s="1">
        <v>5123</v>
      </c>
      <c r="B125" s="1" t="s">
        <v>16</v>
      </c>
      <c r="C125" s="1" t="s">
        <v>17</v>
      </c>
      <c r="D125" s="1" t="s">
        <v>18</v>
      </c>
      <c r="E125" s="5">
        <v>45775</v>
      </c>
      <c r="F125" s="5">
        <v>45818</v>
      </c>
      <c r="G125" s="2">
        <v>1738.75</v>
      </c>
      <c r="H125" s="3">
        <v>337621</v>
      </c>
      <c r="I125" s="3">
        <v>5226</v>
      </c>
      <c r="J125" s="3">
        <v>173</v>
      </c>
      <c r="K125" s="2">
        <v>3473.84</v>
      </c>
      <c r="L125" s="6">
        <f t="shared" si="5"/>
        <v>1.547889497395008E-2</v>
      </c>
      <c r="M125" s="6">
        <f t="shared" si="6"/>
        <v>3.310371220818982E-2</v>
      </c>
      <c r="N125" s="7">
        <f t="shared" si="7"/>
        <v>1.9978950395398993</v>
      </c>
      <c r="O125" s="8">
        <f t="shared" si="8"/>
        <v>0.33271144278606968</v>
      </c>
      <c r="P125" s="8">
        <f t="shared" si="9"/>
        <v>10.050578034682081</v>
      </c>
    </row>
    <row r="126" spans="1:16" x14ac:dyDescent="0.35">
      <c r="A126" s="1">
        <v>5124</v>
      </c>
      <c r="B126" s="1" t="s">
        <v>72</v>
      </c>
      <c r="C126" s="1" t="s">
        <v>37</v>
      </c>
      <c r="D126" s="1" t="s">
        <v>26</v>
      </c>
      <c r="E126" s="5">
        <v>45536</v>
      </c>
      <c r="F126" s="5">
        <v>45555</v>
      </c>
      <c r="G126" s="2">
        <v>7489.87</v>
      </c>
      <c r="H126" s="3">
        <v>436982</v>
      </c>
      <c r="I126" s="3">
        <v>1942</v>
      </c>
      <c r="J126" s="3">
        <v>56</v>
      </c>
      <c r="K126" s="2">
        <v>10357.76</v>
      </c>
      <c r="L126" s="6">
        <f t="shared" si="5"/>
        <v>4.4441189797291419E-3</v>
      </c>
      <c r="M126" s="6">
        <f t="shared" si="6"/>
        <v>2.8836251287332648E-2</v>
      </c>
      <c r="N126" s="7">
        <f t="shared" si="7"/>
        <v>1.3829025069861025</v>
      </c>
      <c r="O126" s="8">
        <f t="shared" si="8"/>
        <v>3.85678166838311</v>
      </c>
      <c r="P126" s="8">
        <f t="shared" si="9"/>
        <v>133.74767857142857</v>
      </c>
    </row>
    <row r="127" spans="1:16" x14ac:dyDescent="0.35">
      <c r="A127" s="1">
        <v>5125</v>
      </c>
      <c r="B127" s="1" t="s">
        <v>61</v>
      </c>
      <c r="C127" s="1" t="s">
        <v>22</v>
      </c>
      <c r="D127" s="1" t="s">
        <v>23</v>
      </c>
      <c r="E127" s="5">
        <v>45691</v>
      </c>
      <c r="F127" s="5">
        <v>45714</v>
      </c>
      <c r="G127" s="2">
        <v>32.39</v>
      </c>
      <c r="H127" s="3">
        <v>28662</v>
      </c>
      <c r="I127" s="3">
        <v>1564</v>
      </c>
      <c r="J127" s="3">
        <v>82</v>
      </c>
      <c r="K127" s="2">
        <v>4189.38</v>
      </c>
      <c r="L127" s="6">
        <f t="shared" si="5"/>
        <v>5.4567022538552785E-2</v>
      </c>
      <c r="M127" s="6">
        <f t="shared" si="6"/>
        <v>5.2429667519181586E-2</v>
      </c>
      <c r="N127" s="7">
        <f t="shared" si="7"/>
        <v>129.34177215189874</v>
      </c>
      <c r="O127" s="8">
        <f t="shared" si="8"/>
        <v>2.0709718670076725E-2</v>
      </c>
      <c r="P127" s="8">
        <f t="shared" si="9"/>
        <v>0.39500000000000002</v>
      </c>
    </row>
    <row r="128" spans="1:16" x14ac:dyDescent="0.35">
      <c r="A128" s="1">
        <v>5126</v>
      </c>
      <c r="B128" s="1" t="s">
        <v>112</v>
      </c>
      <c r="C128" s="1" t="s">
        <v>37</v>
      </c>
      <c r="D128" s="1" t="s">
        <v>38</v>
      </c>
      <c r="E128" s="5">
        <v>45641</v>
      </c>
      <c r="F128" s="5">
        <v>45667</v>
      </c>
      <c r="G128" s="2">
        <v>3543.69</v>
      </c>
      <c r="H128" s="3">
        <v>110671</v>
      </c>
      <c r="I128" s="3">
        <v>1499</v>
      </c>
      <c r="J128" s="3">
        <v>41</v>
      </c>
      <c r="K128" s="2">
        <v>9262.31</v>
      </c>
      <c r="L128" s="6">
        <f t="shared" si="5"/>
        <v>1.3544650360076262E-2</v>
      </c>
      <c r="M128" s="6">
        <f t="shared" si="6"/>
        <v>2.7351567711807873E-2</v>
      </c>
      <c r="N128" s="7">
        <f t="shared" si="7"/>
        <v>2.6137472521580611</v>
      </c>
      <c r="O128" s="8">
        <f t="shared" si="8"/>
        <v>2.3640360240160105</v>
      </c>
      <c r="P128" s="8">
        <f t="shared" si="9"/>
        <v>86.431463414634152</v>
      </c>
    </row>
    <row r="129" spans="1:16" x14ac:dyDescent="0.35">
      <c r="A129" s="1">
        <v>5127</v>
      </c>
      <c r="B129" s="1" t="s">
        <v>113</v>
      </c>
      <c r="C129" s="1" t="s">
        <v>47</v>
      </c>
      <c r="D129" s="1" t="s">
        <v>38</v>
      </c>
      <c r="E129" s="5">
        <v>45714</v>
      </c>
      <c r="F129" s="5">
        <v>45733</v>
      </c>
      <c r="G129" s="2">
        <v>3347.53</v>
      </c>
      <c r="H129" s="3">
        <v>335424</v>
      </c>
      <c r="I129" s="3">
        <v>7592</v>
      </c>
      <c r="J129" s="3">
        <v>400</v>
      </c>
      <c r="K129" s="2">
        <v>15732</v>
      </c>
      <c r="L129" s="6">
        <f t="shared" si="5"/>
        <v>2.2634039305476056E-2</v>
      </c>
      <c r="M129" s="6">
        <f t="shared" si="6"/>
        <v>5.2687038988408853E-2</v>
      </c>
      <c r="N129" s="7">
        <f t="shared" si="7"/>
        <v>4.6995844697433631</v>
      </c>
      <c r="O129" s="8">
        <f t="shared" si="8"/>
        <v>0.44092860906217074</v>
      </c>
      <c r="P129" s="8">
        <f t="shared" si="9"/>
        <v>8.3688250000000011</v>
      </c>
    </row>
    <row r="130" spans="1:16" x14ac:dyDescent="0.35">
      <c r="A130" s="1">
        <v>5128</v>
      </c>
      <c r="B130" s="1" t="s">
        <v>90</v>
      </c>
      <c r="C130" s="1" t="s">
        <v>41</v>
      </c>
      <c r="D130" s="1" t="s">
        <v>23</v>
      </c>
      <c r="E130" s="5">
        <v>45448</v>
      </c>
      <c r="F130" s="5">
        <v>45489</v>
      </c>
      <c r="G130" s="2">
        <v>210.9</v>
      </c>
      <c r="H130" s="3">
        <v>27354</v>
      </c>
      <c r="I130" s="3">
        <v>744</v>
      </c>
      <c r="J130" s="3">
        <v>19</v>
      </c>
      <c r="K130" s="2">
        <v>419.14</v>
      </c>
      <c r="L130" s="6">
        <f t="shared" ref="L130:L193" si="10">IFERROR(I130/H130,0)</f>
        <v>2.7198947137530158E-2</v>
      </c>
      <c r="M130" s="6">
        <f t="shared" ref="M130:M193" si="11">IFERROR(J130/I130,0)</f>
        <v>2.5537634408602152E-2</v>
      </c>
      <c r="N130" s="7">
        <f t="shared" ref="N130:N193" si="12">IFERROR(K130/G130,0)</f>
        <v>1.9873873873873873</v>
      </c>
      <c r="O130" s="8">
        <f t="shared" ref="O130:O193" si="13">IFERROR(G130/I130,0)</f>
        <v>0.28346774193548385</v>
      </c>
      <c r="P130" s="8">
        <f t="shared" ref="P130:P193" si="14">IFERROR(G130/J130,0)</f>
        <v>11.1</v>
      </c>
    </row>
    <row r="131" spans="1:16" x14ac:dyDescent="0.35">
      <c r="A131" s="1">
        <v>5129</v>
      </c>
      <c r="B131" s="1" t="s">
        <v>114</v>
      </c>
      <c r="C131" s="1" t="s">
        <v>25</v>
      </c>
      <c r="D131" s="1" t="s">
        <v>20</v>
      </c>
      <c r="E131" s="5">
        <v>45709</v>
      </c>
      <c r="F131" s="5">
        <v>45739</v>
      </c>
      <c r="G131" s="2">
        <v>1831.7</v>
      </c>
      <c r="H131" s="3">
        <v>230402</v>
      </c>
      <c r="I131" s="3">
        <v>8977</v>
      </c>
      <c r="J131" s="3">
        <v>302</v>
      </c>
      <c r="K131" s="2">
        <v>21164.16</v>
      </c>
      <c r="L131" s="6">
        <f t="shared" si="10"/>
        <v>3.8962335396394127E-2</v>
      </c>
      <c r="M131" s="6">
        <f t="shared" si="11"/>
        <v>3.3641528350228364E-2</v>
      </c>
      <c r="N131" s="7">
        <f t="shared" si="12"/>
        <v>11.554381175956761</v>
      </c>
      <c r="O131" s="8">
        <f t="shared" si="13"/>
        <v>0.20404366714938177</v>
      </c>
      <c r="P131" s="8">
        <f t="shared" si="14"/>
        <v>6.0652317880794699</v>
      </c>
    </row>
    <row r="132" spans="1:16" x14ac:dyDescent="0.35">
      <c r="A132" s="1">
        <v>5130</v>
      </c>
      <c r="B132" s="1" t="s">
        <v>115</v>
      </c>
      <c r="C132" s="1" t="s">
        <v>47</v>
      </c>
      <c r="D132" s="1" t="s">
        <v>38</v>
      </c>
      <c r="E132" s="5">
        <v>45504</v>
      </c>
      <c r="F132" s="5">
        <v>45542</v>
      </c>
      <c r="G132" s="2">
        <v>1820.34</v>
      </c>
      <c r="H132" s="3">
        <v>266131</v>
      </c>
      <c r="I132" s="3">
        <v>5192</v>
      </c>
      <c r="J132" s="3">
        <v>139</v>
      </c>
      <c r="K132" s="2">
        <v>11934.54</v>
      </c>
      <c r="L132" s="6">
        <f t="shared" si="10"/>
        <v>1.9509189083571625E-2</v>
      </c>
      <c r="M132" s="6">
        <f t="shared" si="11"/>
        <v>2.6771956856702618E-2</v>
      </c>
      <c r="N132" s="7">
        <f t="shared" si="12"/>
        <v>6.5562147730643732</v>
      </c>
      <c r="O132" s="8">
        <f t="shared" si="13"/>
        <v>0.35060477657935285</v>
      </c>
      <c r="P132" s="8">
        <f t="shared" si="14"/>
        <v>13.095971223021582</v>
      </c>
    </row>
    <row r="133" spans="1:16" x14ac:dyDescent="0.35">
      <c r="A133" s="1">
        <v>5131</v>
      </c>
      <c r="B133" s="1" t="s">
        <v>113</v>
      </c>
      <c r="C133" s="1" t="s">
        <v>47</v>
      </c>
      <c r="D133" s="1" t="s">
        <v>38</v>
      </c>
      <c r="E133" s="5">
        <v>45600</v>
      </c>
      <c r="F133" s="5">
        <v>45633</v>
      </c>
      <c r="G133" s="2">
        <v>4888.1000000000004</v>
      </c>
      <c r="H133" s="3">
        <v>433342</v>
      </c>
      <c r="I133" s="3">
        <v>11347</v>
      </c>
      <c r="J133" s="3">
        <v>204</v>
      </c>
      <c r="K133" s="2">
        <v>9532.92</v>
      </c>
      <c r="L133" s="6">
        <f t="shared" si="10"/>
        <v>2.6184860918166252E-2</v>
      </c>
      <c r="M133" s="6">
        <f t="shared" si="11"/>
        <v>1.7978320260861901E-2</v>
      </c>
      <c r="N133" s="7">
        <f t="shared" si="12"/>
        <v>1.9502301507743294</v>
      </c>
      <c r="O133" s="8">
        <f t="shared" si="13"/>
        <v>0.43078346699568171</v>
      </c>
      <c r="P133" s="8">
        <f t="shared" si="14"/>
        <v>23.961274509803925</v>
      </c>
    </row>
    <row r="134" spans="1:16" x14ac:dyDescent="0.35">
      <c r="A134" s="1">
        <v>5132</v>
      </c>
      <c r="B134" s="1" t="s">
        <v>116</v>
      </c>
      <c r="C134" s="1" t="s">
        <v>41</v>
      </c>
      <c r="D134" s="1" t="s">
        <v>18</v>
      </c>
      <c r="E134" s="5">
        <v>45808</v>
      </c>
      <c r="F134" s="5">
        <v>45838</v>
      </c>
      <c r="G134" s="2">
        <v>1246.9100000000001</v>
      </c>
      <c r="H134" s="3">
        <v>189500</v>
      </c>
      <c r="I134" s="3">
        <v>5846</v>
      </c>
      <c r="J134" s="3">
        <v>109</v>
      </c>
      <c r="K134" s="2">
        <v>5620.04</v>
      </c>
      <c r="L134" s="6">
        <f t="shared" si="10"/>
        <v>3.0849604221635882E-2</v>
      </c>
      <c r="M134" s="6">
        <f t="shared" si="11"/>
        <v>1.8645227505986999E-2</v>
      </c>
      <c r="N134" s="7">
        <f t="shared" si="12"/>
        <v>4.5071737334691351</v>
      </c>
      <c r="O134" s="8">
        <f t="shared" si="13"/>
        <v>0.21329284981183716</v>
      </c>
      <c r="P134" s="8">
        <f t="shared" si="14"/>
        <v>11.439541284403671</v>
      </c>
    </row>
    <row r="135" spans="1:16" x14ac:dyDescent="0.35">
      <c r="A135" s="1">
        <v>5133</v>
      </c>
      <c r="B135" s="1" t="s">
        <v>117</v>
      </c>
      <c r="C135" s="1" t="s">
        <v>22</v>
      </c>
      <c r="D135" s="1" t="s">
        <v>20</v>
      </c>
      <c r="E135" s="5">
        <v>45756</v>
      </c>
      <c r="F135" s="5">
        <v>45764</v>
      </c>
      <c r="G135" s="2">
        <v>233.39</v>
      </c>
      <c r="H135" s="3">
        <v>199477</v>
      </c>
      <c r="I135" s="3">
        <v>5358</v>
      </c>
      <c r="J135" s="3">
        <v>403</v>
      </c>
      <c r="K135" s="2">
        <v>14616.81</v>
      </c>
      <c r="L135" s="6">
        <f t="shared" si="10"/>
        <v>2.6860239526361435E-2</v>
      </c>
      <c r="M135" s="6">
        <f t="shared" si="11"/>
        <v>7.5214632325494593E-2</v>
      </c>
      <c r="N135" s="7">
        <f t="shared" si="12"/>
        <v>62.628261707870948</v>
      </c>
      <c r="O135" s="8">
        <f t="shared" si="13"/>
        <v>4.3559163867114593E-2</v>
      </c>
      <c r="P135" s="8">
        <f t="shared" si="14"/>
        <v>0.57913151364764259</v>
      </c>
    </row>
    <row r="136" spans="1:16" x14ac:dyDescent="0.35">
      <c r="A136" s="1">
        <v>5134</v>
      </c>
      <c r="B136" s="1" t="s">
        <v>118</v>
      </c>
      <c r="C136" s="1" t="s">
        <v>37</v>
      </c>
      <c r="D136" s="1" t="s">
        <v>20</v>
      </c>
      <c r="E136" s="5">
        <v>45686</v>
      </c>
      <c r="F136" s="5">
        <v>45713</v>
      </c>
      <c r="G136" s="2">
        <v>5158.5</v>
      </c>
      <c r="H136" s="3">
        <v>167375</v>
      </c>
      <c r="I136" s="3">
        <v>818</v>
      </c>
      <c r="J136" s="3">
        <v>17</v>
      </c>
      <c r="K136" s="2">
        <v>2864.67</v>
      </c>
      <c r="L136" s="6">
        <f t="shared" si="10"/>
        <v>4.8872292755787906E-3</v>
      </c>
      <c r="M136" s="6">
        <f t="shared" si="11"/>
        <v>2.0782396088019559E-2</v>
      </c>
      <c r="N136" s="7">
        <f t="shared" si="12"/>
        <v>0.55533003780168655</v>
      </c>
      <c r="O136" s="8">
        <f t="shared" si="13"/>
        <v>6.3062347188264063</v>
      </c>
      <c r="P136" s="8">
        <f t="shared" si="14"/>
        <v>303.44117647058823</v>
      </c>
    </row>
    <row r="137" spans="1:16" x14ac:dyDescent="0.35">
      <c r="A137" s="1">
        <v>5135</v>
      </c>
      <c r="B137" s="1" t="s">
        <v>55</v>
      </c>
      <c r="C137" s="1" t="s">
        <v>47</v>
      </c>
      <c r="D137" s="1" t="s">
        <v>38</v>
      </c>
      <c r="E137" s="5">
        <v>45597</v>
      </c>
      <c r="F137" s="5">
        <v>45634</v>
      </c>
      <c r="G137" s="2">
        <v>4855.3</v>
      </c>
      <c r="H137" s="3">
        <v>419646</v>
      </c>
      <c r="I137" s="3">
        <v>7016</v>
      </c>
      <c r="J137" s="3">
        <v>306</v>
      </c>
      <c r="K137" s="2">
        <v>11101.68</v>
      </c>
      <c r="L137" s="6">
        <f t="shared" si="10"/>
        <v>1.6718853509863074E-2</v>
      </c>
      <c r="M137" s="6">
        <f t="shared" si="11"/>
        <v>4.3614595210946405E-2</v>
      </c>
      <c r="N137" s="7">
        <f t="shared" si="12"/>
        <v>2.2865075278561573</v>
      </c>
      <c r="O137" s="8">
        <f t="shared" si="13"/>
        <v>0.69203249714937287</v>
      </c>
      <c r="P137" s="8">
        <f t="shared" si="14"/>
        <v>15.866993464052289</v>
      </c>
    </row>
    <row r="138" spans="1:16" x14ac:dyDescent="0.35">
      <c r="A138" s="1">
        <v>5136</v>
      </c>
      <c r="B138" s="1" t="s">
        <v>119</v>
      </c>
      <c r="C138" s="1" t="s">
        <v>60</v>
      </c>
      <c r="D138" s="1" t="s">
        <v>38</v>
      </c>
      <c r="E138" s="5">
        <v>45502</v>
      </c>
      <c r="F138" s="5">
        <v>45515</v>
      </c>
      <c r="G138" s="2">
        <v>5182.0200000000004</v>
      </c>
      <c r="H138" s="3">
        <v>361368</v>
      </c>
      <c r="I138" s="3">
        <v>5705</v>
      </c>
      <c r="J138" s="3">
        <v>67</v>
      </c>
      <c r="K138" s="2">
        <v>2310.83</v>
      </c>
      <c r="L138" s="6">
        <f t="shared" si="10"/>
        <v>1.5787230745389742E-2</v>
      </c>
      <c r="M138" s="6">
        <f t="shared" si="11"/>
        <v>1.1744084136722174E-2</v>
      </c>
      <c r="N138" s="7">
        <f t="shared" si="12"/>
        <v>0.44593228123395889</v>
      </c>
      <c r="O138" s="8">
        <f t="shared" si="13"/>
        <v>0.9083295354951797</v>
      </c>
      <c r="P138" s="8">
        <f t="shared" si="14"/>
        <v>77.343582089552243</v>
      </c>
    </row>
    <row r="139" spans="1:16" x14ac:dyDescent="0.35">
      <c r="A139" s="1">
        <v>5137</v>
      </c>
      <c r="B139" s="1" t="s">
        <v>59</v>
      </c>
      <c r="C139" s="1" t="s">
        <v>60</v>
      </c>
      <c r="D139" s="1" t="s">
        <v>26</v>
      </c>
      <c r="E139" s="5">
        <v>45792</v>
      </c>
      <c r="F139" s="5">
        <v>45820</v>
      </c>
      <c r="G139" s="2">
        <v>591.36</v>
      </c>
      <c r="H139" s="3">
        <v>85210</v>
      </c>
      <c r="I139" s="3">
        <v>1220</v>
      </c>
      <c r="J139" s="3">
        <v>14</v>
      </c>
      <c r="K139" s="2">
        <v>296.38</v>
      </c>
      <c r="L139" s="6">
        <f t="shared" si="10"/>
        <v>1.4317568360521065E-2</v>
      </c>
      <c r="M139" s="6">
        <f t="shared" si="11"/>
        <v>1.1475409836065573E-2</v>
      </c>
      <c r="N139" s="7">
        <f t="shared" si="12"/>
        <v>0.50118371212121215</v>
      </c>
      <c r="O139" s="8">
        <f t="shared" si="13"/>
        <v>0.48472131147540987</v>
      </c>
      <c r="P139" s="8">
        <f t="shared" si="14"/>
        <v>42.24</v>
      </c>
    </row>
    <row r="140" spans="1:16" x14ac:dyDescent="0.35">
      <c r="A140" s="1">
        <v>5138</v>
      </c>
      <c r="B140" s="1" t="s">
        <v>51</v>
      </c>
      <c r="C140" s="1" t="s">
        <v>25</v>
      </c>
      <c r="D140" s="1" t="s">
        <v>18</v>
      </c>
      <c r="E140" s="5">
        <v>45461</v>
      </c>
      <c r="F140" s="5">
        <v>45472</v>
      </c>
      <c r="G140" s="2">
        <v>1704.13</v>
      </c>
      <c r="H140" s="3">
        <v>255110</v>
      </c>
      <c r="I140" s="3">
        <v>9950</v>
      </c>
      <c r="J140" s="3">
        <v>736</v>
      </c>
      <c r="K140" s="2">
        <v>30779.52</v>
      </c>
      <c r="L140" s="6">
        <f t="shared" si="10"/>
        <v>3.9002783113166871E-2</v>
      </c>
      <c r="M140" s="6">
        <f t="shared" si="11"/>
        <v>7.3969849246231151E-2</v>
      </c>
      <c r="N140" s="7">
        <f t="shared" si="12"/>
        <v>18.061720643378145</v>
      </c>
      <c r="O140" s="8">
        <f t="shared" si="13"/>
        <v>0.17126934673366837</v>
      </c>
      <c r="P140" s="8">
        <f t="shared" si="14"/>
        <v>2.3153940217391304</v>
      </c>
    </row>
    <row r="141" spans="1:16" x14ac:dyDescent="0.35">
      <c r="A141" s="1">
        <v>5139</v>
      </c>
      <c r="B141" s="1" t="s">
        <v>71</v>
      </c>
      <c r="C141" s="1" t="s">
        <v>47</v>
      </c>
      <c r="D141" s="1" t="s">
        <v>26</v>
      </c>
      <c r="E141" s="5">
        <v>45819</v>
      </c>
      <c r="F141" s="5">
        <v>45863</v>
      </c>
      <c r="G141" s="2">
        <v>3957.77</v>
      </c>
      <c r="H141" s="3">
        <v>386501</v>
      </c>
      <c r="I141" s="3">
        <v>6690</v>
      </c>
      <c r="J141" s="3">
        <v>335</v>
      </c>
      <c r="K141" s="2">
        <v>15135.3</v>
      </c>
      <c r="L141" s="6">
        <f t="shared" si="10"/>
        <v>1.7309140209210327E-2</v>
      </c>
      <c r="M141" s="6">
        <f t="shared" si="11"/>
        <v>5.0074738415545592E-2</v>
      </c>
      <c r="N141" s="7">
        <f t="shared" si="12"/>
        <v>3.8241989807391534</v>
      </c>
      <c r="O141" s="8">
        <f t="shared" si="13"/>
        <v>0.59159491778774287</v>
      </c>
      <c r="P141" s="8">
        <f t="shared" si="14"/>
        <v>11.814238805970149</v>
      </c>
    </row>
    <row r="142" spans="1:16" x14ac:dyDescent="0.35">
      <c r="A142" s="1">
        <v>5140</v>
      </c>
      <c r="B142" s="1" t="s">
        <v>120</v>
      </c>
      <c r="C142" s="1" t="s">
        <v>28</v>
      </c>
      <c r="D142" s="1" t="s">
        <v>38</v>
      </c>
      <c r="E142" s="5">
        <v>45654</v>
      </c>
      <c r="F142" s="5">
        <v>45679</v>
      </c>
      <c r="G142" s="2">
        <v>6642.7</v>
      </c>
      <c r="H142" s="3">
        <v>379583</v>
      </c>
      <c r="I142" s="3">
        <v>16617</v>
      </c>
      <c r="J142" s="3">
        <v>1332</v>
      </c>
      <c r="K142" s="2">
        <v>71088.84</v>
      </c>
      <c r="L142" s="6">
        <f t="shared" si="10"/>
        <v>4.3776986851360569E-2</v>
      </c>
      <c r="M142" s="6">
        <f t="shared" si="11"/>
        <v>8.0158873442859727E-2</v>
      </c>
      <c r="N142" s="7">
        <f t="shared" si="12"/>
        <v>10.701798967287399</v>
      </c>
      <c r="O142" s="8">
        <f t="shared" si="13"/>
        <v>0.39975326472889211</v>
      </c>
      <c r="P142" s="8">
        <f t="shared" si="14"/>
        <v>4.9870120120120118</v>
      </c>
    </row>
    <row r="143" spans="1:16" x14ac:dyDescent="0.35">
      <c r="A143" s="1">
        <v>5141</v>
      </c>
      <c r="B143" s="1" t="s">
        <v>121</v>
      </c>
      <c r="C143" s="1" t="s">
        <v>25</v>
      </c>
      <c r="D143" s="1" t="s">
        <v>18</v>
      </c>
      <c r="E143" s="5">
        <v>45772</v>
      </c>
      <c r="F143" s="5">
        <v>45777</v>
      </c>
      <c r="G143" s="2">
        <v>1124.8800000000001</v>
      </c>
      <c r="H143" s="3">
        <v>229568</v>
      </c>
      <c r="I143" s="3">
        <v>5229</v>
      </c>
      <c r="J143" s="3">
        <v>120</v>
      </c>
      <c r="K143" s="2">
        <v>6108</v>
      </c>
      <c r="L143" s="6">
        <f t="shared" si="10"/>
        <v>2.2777564817396154E-2</v>
      </c>
      <c r="M143" s="6">
        <f t="shared" si="11"/>
        <v>2.2948938611589215E-2</v>
      </c>
      <c r="N143" s="7">
        <f t="shared" si="12"/>
        <v>5.4299125240025594</v>
      </c>
      <c r="O143" s="8">
        <f t="shared" si="13"/>
        <v>0.21512335054503731</v>
      </c>
      <c r="P143" s="8">
        <f t="shared" si="14"/>
        <v>9.3740000000000006</v>
      </c>
    </row>
    <row r="144" spans="1:16" x14ac:dyDescent="0.35">
      <c r="A144" s="1">
        <v>5142</v>
      </c>
      <c r="B144" s="1" t="s">
        <v>121</v>
      </c>
      <c r="C144" s="1" t="s">
        <v>25</v>
      </c>
      <c r="D144" s="1" t="s">
        <v>26</v>
      </c>
      <c r="E144" s="5">
        <v>45775</v>
      </c>
      <c r="F144" s="5">
        <v>45812</v>
      </c>
      <c r="G144" s="2">
        <v>1038.27</v>
      </c>
      <c r="H144" s="3">
        <v>185406</v>
      </c>
      <c r="I144" s="3">
        <v>5273</v>
      </c>
      <c r="J144" s="3">
        <v>305</v>
      </c>
      <c r="K144" s="2">
        <v>31216.75</v>
      </c>
      <c r="L144" s="6">
        <f t="shared" si="10"/>
        <v>2.8440287800826296E-2</v>
      </c>
      <c r="M144" s="6">
        <f t="shared" si="11"/>
        <v>5.7841835767115497E-2</v>
      </c>
      <c r="N144" s="7">
        <f t="shared" si="12"/>
        <v>30.066119602800814</v>
      </c>
      <c r="O144" s="8">
        <f t="shared" si="13"/>
        <v>0.19690309121941968</v>
      </c>
      <c r="P144" s="8">
        <f t="shared" si="14"/>
        <v>3.4041639344262293</v>
      </c>
    </row>
    <row r="145" spans="1:16" x14ac:dyDescent="0.35">
      <c r="A145" s="1">
        <v>5143</v>
      </c>
      <c r="B145" s="1" t="s">
        <v>113</v>
      </c>
      <c r="C145" s="1" t="s">
        <v>47</v>
      </c>
      <c r="D145" s="1" t="s">
        <v>38</v>
      </c>
      <c r="E145" s="5">
        <v>45689</v>
      </c>
      <c r="F145" s="5">
        <v>45708</v>
      </c>
      <c r="G145" s="2">
        <v>1641.05</v>
      </c>
      <c r="H145" s="3">
        <v>401234</v>
      </c>
      <c r="I145" s="3">
        <v>7808</v>
      </c>
      <c r="J145" s="3">
        <v>150</v>
      </c>
      <c r="K145" s="2">
        <v>12426</v>
      </c>
      <c r="L145" s="6">
        <f t="shared" si="10"/>
        <v>1.945996600487496E-2</v>
      </c>
      <c r="M145" s="6">
        <f t="shared" si="11"/>
        <v>1.9211065573770492E-2</v>
      </c>
      <c r="N145" s="7">
        <f t="shared" si="12"/>
        <v>7.5719813534017852</v>
      </c>
      <c r="O145" s="8">
        <f t="shared" si="13"/>
        <v>0.21017546106557378</v>
      </c>
      <c r="P145" s="8">
        <f t="shared" si="14"/>
        <v>10.940333333333333</v>
      </c>
    </row>
    <row r="146" spans="1:16" x14ac:dyDescent="0.35">
      <c r="A146" s="1">
        <v>5144</v>
      </c>
      <c r="B146" s="1" t="s">
        <v>19</v>
      </c>
      <c r="C146" s="1" t="s">
        <v>17</v>
      </c>
      <c r="D146" s="1" t="s">
        <v>38</v>
      </c>
      <c r="E146" s="5">
        <v>45665</v>
      </c>
      <c r="F146" s="5">
        <v>45669</v>
      </c>
      <c r="G146" s="2">
        <v>3703.15</v>
      </c>
      <c r="H146" s="3">
        <v>456053</v>
      </c>
      <c r="I146" s="3">
        <v>12529</v>
      </c>
      <c r="J146" s="3">
        <v>472</v>
      </c>
      <c r="K146" s="2">
        <v>13475.6</v>
      </c>
      <c r="L146" s="6">
        <f t="shared" si="10"/>
        <v>2.7472684095927447E-2</v>
      </c>
      <c r="M146" s="6">
        <f t="shared" si="11"/>
        <v>3.7672599568999918E-2</v>
      </c>
      <c r="N146" s="7">
        <f t="shared" si="12"/>
        <v>3.6389560239255769</v>
      </c>
      <c r="O146" s="8">
        <f t="shared" si="13"/>
        <v>0.29556628621597891</v>
      </c>
      <c r="P146" s="8">
        <f t="shared" si="14"/>
        <v>7.8456567796610175</v>
      </c>
    </row>
    <row r="147" spans="1:16" x14ac:dyDescent="0.35">
      <c r="A147" s="1">
        <v>5145</v>
      </c>
      <c r="B147" s="1" t="s">
        <v>122</v>
      </c>
      <c r="C147" s="1" t="s">
        <v>28</v>
      </c>
      <c r="D147" s="1" t="s">
        <v>18</v>
      </c>
      <c r="E147" s="5">
        <v>45496</v>
      </c>
      <c r="F147" s="5">
        <v>45508</v>
      </c>
      <c r="G147" s="2">
        <v>2936.87</v>
      </c>
      <c r="H147" s="3">
        <v>185878</v>
      </c>
      <c r="I147" s="3">
        <v>4387</v>
      </c>
      <c r="J147" s="3">
        <v>175</v>
      </c>
      <c r="K147" s="2">
        <v>8156.75</v>
      </c>
      <c r="L147" s="6">
        <f t="shared" si="10"/>
        <v>2.3601502060491289E-2</v>
      </c>
      <c r="M147" s="6">
        <f t="shared" si="11"/>
        <v>3.9890585821746066E-2</v>
      </c>
      <c r="N147" s="7">
        <f t="shared" si="12"/>
        <v>2.7773616128735696</v>
      </c>
      <c r="O147" s="8">
        <f t="shared" si="13"/>
        <v>0.66944837018463643</v>
      </c>
      <c r="P147" s="8">
        <f t="shared" si="14"/>
        <v>16.782114285714286</v>
      </c>
    </row>
    <row r="148" spans="1:16" x14ac:dyDescent="0.35">
      <c r="A148" s="1">
        <v>5146</v>
      </c>
      <c r="B148" s="1" t="s">
        <v>111</v>
      </c>
      <c r="C148" s="1" t="s">
        <v>25</v>
      </c>
      <c r="D148" s="1" t="s">
        <v>20</v>
      </c>
      <c r="E148" s="5">
        <v>45576</v>
      </c>
      <c r="F148" s="5">
        <v>45607</v>
      </c>
      <c r="G148" s="2">
        <v>1242.92</v>
      </c>
      <c r="H148" s="3">
        <v>298062</v>
      </c>
      <c r="I148" s="3">
        <v>10352</v>
      </c>
      <c r="J148" s="3">
        <v>296</v>
      </c>
      <c r="K148" s="2">
        <v>31970.959999999999</v>
      </c>
      <c r="L148" s="6">
        <f t="shared" si="10"/>
        <v>3.4731029114747937E-2</v>
      </c>
      <c r="M148" s="6">
        <f t="shared" si="11"/>
        <v>2.8593508500772798E-2</v>
      </c>
      <c r="N148" s="7">
        <f t="shared" si="12"/>
        <v>25.722460013516557</v>
      </c>
      <c r="O148" s="8">
        <f t="shared" si="13"/>
        <v>0.12006568778979908</v>
      </c>
      <c r="P148" s="8">
        <f t="shared" si="14"/>
        <v>4.199054054054054</v>
      </c>
    </row>
    <row r="149" spans="1:16" x14ac:dyDescent="0.35">
      <c r="A149" s="1">
        <v>5147</v>
      </c>
      <c r="B149" s="1" t="s">
        <v>123</v>
      </c>
      <c r="C149" s="1" t="s">
        <v>60</v>
      </c>
      <c r="D149" s="1" t="s">
        <v>26</v>
      </c>
      <c r="E149" s="5">
        <v>45635</v>
      </c>
      <c r="F149" s="5">
        <v>45679</v>
      </c>
      <c r="G149" s="2">
        <v>1288.77</v>
      </c>
      <c r="H149" s="3">
        <v>146952</v>
      </c>
      <c r="I149" s="3">
        <v>2713</v>
      </c>
      <c r="J149" s="3">
        <v>81</v>
      </c>
      <c r="K149" s="2">
        <v>2836.62</v>
      </c>
      <c r="L149" s="6">
        <f t="shared" si="10"/>
        <v>1.8461810659262889E-2</v>
      </c>
      <c r="M149" s="6">
        <f t="shared" si="11"/>
        <v>2.9856247696277184E-2</v>
      </c>
      <c r="N149" s="7">
        <f t="shared" si="12"/>
        <v>2.2010288880094975</v>
      </c>
      <c r="O149" s="8">
        <f t="shared" si="13"/>
        <v>0.47503501658680425</v>
      </c>
      <c r="P149" s="8">
        <f t="shared" si="14"/>
        <v>15.91074074074074</v>
      </c>
    </row>
    <row r="150" spans="1:16" x14ac:dyDescent="0.35">
      <c r="A150" s="1">
        <v>5148</v>
      </c>
      <c r="B150" s="1" t="s">
        <v>114</v>
      </c>
      <c r="C150" s="1" t="s">
        <v>25</v>
      </c>
      <c r="D150" s="1" t="s">
        <v>38</v>
      </c>
      <c r="E150" s="5">
        <v>45691</v>
      </c>
      <c r="F150" s="5">
        <v>45712</v>
      </c>
      <c r="G150" s="2">
        <v>101.24</v>
      </c>
      <c r="H150" s="3">
        <v>34791</v>
      </c>
      <c r="I150" s="3">
        <v>1550</v>
      </c>
      <c r="J150" s="3">
        <v>47</v>
      </c>
      <c r="K150" s="2">
        <v>4698.12</v>
      </c>
      <c r="L150" s="6">
        <f t="shared" si="10"/>
        <v>4.4551751889856571E-2</v>
      </c>
      <c r="M150" s="6">
        <f t="shared" si="11"/>
        <v>3.0322580645161291E-2</v>
      </c>
      <c r="N150" s="7">
        <f t="shared" si="12"/>
        <v>46.405768470960098</v>
      </c>
      <c r="O150" s="8">
        <f t="shared" si="13"/>
        <v>6.5316129032258058E-2</v>
      </c>
      <c r="P150" s="8">
        <f t="shared" si="14"/>
        <v>2.1540425531914891</v>
      </c>
    </row>
    <row r="151" spans="1:16" x14ac:dyDescent="0.35">
      <c r="A151" s="1">
        <v>5149</v>
      </c>
      <c r="B151" s="1" t="s">
        <v>88</v>
      </c>
      <c r="C151" s="1" t="s">
        <v>60</v>
      </c>
      <c r="D151" s="1" t="s">
        <v>26</v>
      </c>
      <c r="E151" s="5">
        <v>45585</v>
      </c>
      <c r="F151" s="5">
        <v>45623</v>
      </c>
      <c r="G151" s="2">
        <v>1977.81</v>
      </c>
      <c r="H151" s="3">
        <v>142802</v>
      </c>
      <c r="I151" s="3">
        <v>1131</v>
      </c>
      <c r="J151" s="3">
        <v>28</v>
      </c>
      <c r="K151" s="2">
        <v>1616.72</v>
      </c>
      <c r="L151" s="6">
        <f t="shared" si="10"/>
        <v>7.9200571420568345E-3</v>
      </c>
      <c r="M151" s="6">
        <f t="shared" si="11"/>
        <v>2.475685234305924E-2</v>
      </c>
      <c r="N151" s="7">
        <f t="shared" si="12"/>
        <v>0.81742937895955636</v>
      </c>
      <c r="O151" s="8">
        <f t="shared" si="13"/>
        <v>1.7487267904509283</v>
      </c>
      <c r="P151" s="8">
        <f t="shared" si="14"/>
        <v>70.636071428571427</v>
      </c>
    </row>
    <row r="152" spans="1:16" x14ac:dyDescent="0.35">
      <c r="A152" s="1">
        <v>5150</v>
      </c>
      <c r="B152" s="1" t="s">
        <v>64</v>
      </c>
      <c r="C152" s="1" t="s">
        <v>22</v>
      </c>
      <c r="D152" s="1" t="s">
        <v>26</v>
      </c>
      <c r="E152" s="5">
        <v>45671</v>
      </c>
      <c r="F152" s="5">
        <v>45702</v>
      </c>
      <c r="G152" s="2">
        <v>343.72</v>
      </c>
      <c r="H152" s="3">
        <v>194191</v>
      </c>
      <c r="I152" s="3">
        <v>9488</v>
      </c>
      <c r="J152" s="3">
        <v>497</v>
      </c>
      <c r="K152" s="2">
        <v>33492.83</v>
      </c>
      <c r="L152" s="6">
        <f t="shared" si="10"/>
        <v>4.8859112935202967E-2</v>
      </c>
      <c r="M152" s="6">
        <f t="shared" si="11"/>
        <v>5.2381956155143336E-2</v>
      </c>
      <c r="N152" s="7">
        <f t="shared" si="12"/>
        <v>97.442191318515071</v>
      </c>
      <c r="O152" s="8">
        <f t="shared" si="13"/>
        <v>3.6226812816188871E-2</v>
      </c>
      <c r="P152" s="8">
        <f t="shared" si="14"/>
        <v>0.69158953722334005</v>
      </c>
    </row>
    <row r="153" spans="1:16" x14ac:dyDescent="0.35">
      <c r="A153" s="1">
        <v>5151</v>
      </c>
      <c r="B153" s="1" t="s">
        <v>82</v>
      </c>
      <c r="C153" s="1" t="s">
        <v>37</v>
      </c>
      <c r="D153" s="1" t="s">
        <v>20</v>
      </c>
      <c r="E153" s="5">
        <v>45581</v>
      </c>
      <c r="F153" s="5">
        <v>45597</v>
      </c>
      <c r="G153" s="2">
        <v>1249.53</v>
      </c>
      <c r="H153" s="3">
        <v>103438</v>
      </c>
      <c r="I153" s="3">
        <v>1178</v>
      </c>
      <c r="J153" s="3">
        <v>36</v>
      </c>
      <c r="K153" s="2">
        <v>2608.92</v>
      </c>
      <c r="L153" s="6">
        <f t="shared" si="10"/>
        <v>1.1388464587482357E-2</v>
      </c>
      <c r="M153" s="6">
        <f t="shared" si="11"/>
        <v>3.0560271646859084E-2</v>
      </c>
      <c r="N153" s="7">
        <f t="shared" si="12"/>
        <v>2.0879210583179275</v>
      </c>
      <c r="O153" s="8">
        <f t="shared" si="13"/>
        <v>1.0607215619694397</v>
      </c>
      <c r="P153" s="8">
        <f t="shared" si="14"/>
        <v>34.709166666666668</v>
      </c>
    </row>
    <row r="154" spans="1:16" x14ac:dyDescent="0.35">
      <c r="A154" s="1">
        <v>5152</v>
      </c>
      <c r="B154" s="1" t="s">
        <v>40</v>
      </c>
      <c r="C154" s="1" t="s">
        <v>41</v>
      </c>
      <c r="D154" s="1" t="s">
        <v>26</v>
      </c>
      <c r="E154" s="5">
        <v>45682</v>
      </c>
      <c r="F154" s="5">
        <v>45691</v>
      </c>
      <c r="G154" s="2">
        <v>2760.8</v>
      </c>
      <c r="H154" s="3">
        <v>290917</v>
      </c>
      <c r="I154" s="3">
        <v>10021</v>
      </c>
      <c r="J154" s="3">
        <v>196</v>
      </c>
      <c r="K154" s="2">
        <v>8339.7999999999993</v>
      </c>
      <c r="L154" s="6">
        <f t="shared" si="10"/>
        <v>3.4446250992551143E-2</v>
      </c>
      <c r="M154" s="6">
        <f t="shared" si="11"/>
        <v>1.9558926254864783E-2</v>
      </c>
      <c r="N154" s="7">
        <f t="shared" si="12"/>
        <v>3.0207910750507097</v>
      </c>
      <c r="O154" s="8">
        <f t="shared" si="13"/>
        <v>0.27550144696138112</v>
      </c>
      <c r="P154" s="8">
        <f t="shared" si="14"/>
        <v>14.085714285714287</v>
      </c>
    </row>
    <row r="155" spans="1:16" x14ac:dyDescent="0.35">
      <c r="A155" s="1">
        <v>5153</v>
      </c>
      <c r="B155" s="1" t="s">
        <v>124</v>
      </c>
      <c r="C155" s="1" t="s">
        <v>28</v>
      </c>
      <c r="D155" s="1" t="s">
        <v>23</v>
      </c>
      <c r="E155" s="5">
        <v>45754</v>
      </c>
      <c r="F155" s="5">
        <v>45785</v>
      </c>
      <c r="G155" s="2">
        <v>96.21</v>
      </c>
      <c r="H155" s="3">
        <v>3987</v>
      </c>
      <c r="I155" s="3">
        <v>164</v>
      </c>
      <c r="J155" s="3">
        <v>12</v>
      </c>
      <c r="K155" s="2">
        <v>1380.24</v>
      </c>
      <c r="L155" s="6">
        <f t="shared" si="10"/>
        <v>4.1133684474542263E-2</v>
      </c>
      <c r="M155" s="6">
        <f t="shared" si="11"/>
        <v>7.3170731707317069E-2</v>
      </c>
      <c r="N155" s="7">
        <f t="shared" si="12"/>
        <v>14.346117867165576</v>
      </c>
      <c r="O155" s="8">
        <f t="shared" si="13"/>
        <v>0.58664634146341454</v>
      </c>
      <c r="P155" s="8">
        <f t="shared" si="14"/>
        <v>8.0175000000000001</v>
      </c>
    </row>
    <row r="156" spans="1:16" x14ac:dyDescent="0.35">
      <c r="A156" s="1">
        <v>5154</v>
      </c>
      <c r="B156" s="1" t="s">
        <v>39</v>
      </c>
      <c r="C156" s="1" t="s">
        <v>17</v>
      </c>
      <c r="D156" s="1" t="s">
        <v>18</v>
      </c>
      <c r="E156" s="5">
        <v>45570</v>
      </c>
      <c r="F156" s="5">
        <v>45605</v>
      </c>
      <c r="G156" s="2">
        <v>3582.98</v>
      </c>
      <c r="H156" s="3">
        <v>275614</v>
      </c>
      <c r="I156" s="3">
        <v>7413</v>
      </c>
      <c r="J156" s="3">
        <v>313</v>
      </c>
      <c r="K156" s="2">
        <v>9944.01</v>
      </c>
      <c r="L156" s="6">
        <f t="shared" si="10"/>
        <v>2.6896311508123681E-2</v>
      </c>
      <c r="M156" s="6">
        <f t="shared" si="11"/>
        <v>4.2223121543234855E-2</v>
      </c>
      <c r="N156" s="7">
        <f t="shared" si="12"/>
        <v>2.7753462201854324</v>
      </c>
      <c r="O156" s="8">
        <f t="shared" si="13"/>
        <v>0.48333738027789019</v>
      </c>
      <c r="P156" s="8">
        <f t="shared" si="14"/>
        <v>11.447220447284344</v>
      </c>
    </row>
    <row r="157" spans="1:16" x14ac:dyDescent="0.35">
      <c r="A157" s="1">
        <v>5155</v>
      </c>
      <c r="B157" s="1" t="s">
        <v>118</v>
      </c>
      <c r="C157" s="1" t="s">
        <v>37</v>
      </c>
      <c r="D157" s="1" t="s">
        <v>23</v>
      </c>
      <c r="E157" s="5">
        <v>45515</v>
      </c>
      <c r="F157" s="5">
        <v>45533</v>
      </c>
      <c r="G157" s="2">
        <v>1222.4000000000001</v>
      </c>
      <c r="H157" s="3">
        <v>75271</v>
      </c>
      <c r="I157" s="3">
        <v>424</v>
      </c>
      <c r="J157" s="3">
        <v>8</v>
      </c>
      <c r="K157" s="2">
        <v>1698.48</v>
      </c>
      <c r="L157" s="6">
        <f t="shared" si="10"/>
        <v>5.6329795007373359E-3</v>
      </c>
      <c r="M157" s="6">
        <f t="shared" si="11"/>
        <v>1.8867924528301886E-2</v>
      </c>
      <c r="N157" s="7">
        <f t="shared" si="12"/>
        <v>1.3894633507853402</v>
      </c>
      <c r="O157" s="8">
        <f t="shared" si="13"/>
        <v>2.8830188679245285</v>
      </c>
      <c r="P157" s="8">
        <f t="shared" si="14"/>
        <v>152.80000000000001</v>
      </c>
    </row>
    <row r="158" spans="1:16" x14ac:dyDescent="0.35">
      <c r="A158" s="1">
        <v>5156</v>
      </c>
      <c r="B158" s="1" t="s">
        <v>119</v>
      </c>
      <c r="C158" s="1" t="s">
        <v>60</v>
      </c>
      <c r="D158" s="1" t="s">
        <v>20</v>
      </c>
      <c r="E158" s="5">
        <v>45459</v>
      </c>
      <c r="F158" s="5">
        <v>45497</v>
      </c>
      <c r="G158" s="2">
        <v>751.49</v>
      </c>
      <c r="H158" s="3">
        <v>66152</v>
      </c>
      <c r="I158" s="3">
        <v>1175</v>
      </c>
      <c r="J158" s="3">
        <v>23</v>
      </c>
      <c r="K158" s="2">
        <v>1790.55</v>
      </c>
      <c r="L158" s="6">
        <f t="shared" si="10"/>
        <v>1.7762123594146813E-2</v>
      </c>
      <c r="M158" s="6">
        <f t="shared" si="11"/>
        <v>1.9574468085106381E-2</v>
      </c>
      <c r="N158" s="7">
        <f t="shared" si="12"/>
        <v>2.3826664360137859</v>
      </c>
      <c r="O158" s="8">
        <f t="shared" si="13"/>
        <v>0.63956595744680855</v>
      </c>
      <c r="P158" s="8">
        <f t="shared" si="14"/>
        <v>32.673478260869565</v>
      </c>
    </row>
    <row r="159" spans="1:16" x14ac:dyDescent="0.35">
      <c r="A159" s="1">
        <v>5157</v>
      </c>
      <c r="B159" s="1" t="s">
        <v>125</v>
      </c>
      <c r="C159" s="1" t="s">
        <v>41</v>
      </c>
      <c r="D159" s="1" t="s">
        <v>23</v>
      </c>
      <c r="E159" s="5">
        <v>45677</v>
      </c>
      <c r="F159" s="5">
        <v>45694</v>
      </c>
      <c r="G159" s="2">
        <v>4081.59</v>
      </c>
      <c r="H159" s="3">
        <v>487645</v>
      </c>
      <c r="I159" s="3">
        <v>12200</v>
      </c>
      <c r="J159" s="3">
        <v>355</v>
      </c>
      <c r="K159" s="2">
        <v>14760.9</v>
      </c>
      <c r="L159" s="6">
        <f t="shared" si="10"/>
        <v>2.5018199714956578E-2</v>
      </c>
      <c r="M159" s="6">
        <f t="shared" si="11"/>
        <v>2.9098360655737704E-2</v>
      </c>
      <c r="N159" s="7">
        <f t="shared" si="12"/>
        <v>3.6164582919891513</v>
      </c>
      <c r="O159" s="8">
        <f t="shared" si="13"/>
        <v>0.3345565573770492</v>
      </c>
      <c r="P159" s="8">
        <f t="shared" si="14"/>
        <v>11.497436619718311</v>
      </c>
    </row>
    <row r="160" spans="1:16" x14ac:dyDescent="0.35">
      <c r="A160" s="1">
        <v>5158</v>
      </c>
      <c r="B160" s="1" t="s">
        <v>53</v>
      </c>
      <c r="C160" s="1" t="s">
        <v>17</v>
      </c>
      <c r="D160" s="1" t="s">
        <v>26</v>
      </c>
      <c r="E160" s="5">
        <v>45464</v>
      </c>
      <c r="F160" s="5">
        <v>45504</v>
      </c>
      <c r="G160" s="2">
        <v>157.71</v>
      </c>
      <c r="H160" s="3">
        <v>25073</v>
      </c>
      <c r="I160" s="3">
        <v>381</v>
      </c>
      <c r="J160" s="3">
        <v>3</v>
      </c>
      <c r="K160" s="2">
        <v>216.27</v>
      </c>
      <c r="L160" s="6">
        <f t="shared" si="10"/>
        <v>1.5195628764009093E-2</v>
      </c>
      <c r="M160" s="6">
        <f t="shared" si="11"/>
        <v>7.874015748031496E-3</v>
      </c>
      <c r="N160" s="7">
        <f t="shared" si="12"/>
        <v>1.3713144378923341</v>
      </c>
      <c r="O160" s="8">
        <f t="shared" si="13"/>
        <v>0.41393700787401577</v>
      </c>
      <c r="P160" s="8">
        <f t="shared" si="14"/>
        <v>52.57</v>
      </c>
    </row>
    <row r="161" spans="1:16" x14ac:dyDescent="0.35">
      <c r="A161" s="1">
        <v>5159</v>
      </c>
      <c r="B161" s="1" t="s">
        <v>16</v>
      </c>
      <c r="C161" s="1" t="s">
        <v>17</v>
      </c>
      <c r="D161" s="1" t="s">
        <v>38</v>
      </c>
      <c r="E161" s="5">
        <v>45582</v>
      </c>
      <c r="F161" s="5">
        <v>45603</v>
      </c>
      <c r="G161" s="2">
        <v>2110.17</v>
      </c>
      <c r="H161" s="3">
        <v>175701</v>
      </c>
      <c r="I161" s="3">
        <v>3590</v>
      </c>
      <c r="J161" s="3">
        <v>142</v>
      </c>
      <c r="K161" s="2">
        <v>10739.46</v>
      </c>
      <c r="L161" s="6">
        <f t="shared" si="10"/>
        <v>2.0432439200687533E-2</v>
      </c>
      <c r="M161" s="6">
        <f t="shared" si="11"/>
        <v>3.9554317548746519E-2</v>
      </c>
      <c r="N161" s="7">
        <f t="shared" si="12"/>
        <v>5.0893814242454392</v>
      </c>
      <c r="O161" s="8">
        <f t="shared" si="13"/>
        <v>0.58779108635097499</v>
      </c>
      <c r="P161" s="8">
        <f t="shared" si="14"/>
        <v>14.860352112676058</v>
      </c>
    </row>
    <row r="162" spans="1:16" x14ac:dyDescent="0.35">
      <c r="A162" s="1">
        <v>5160</v>
      </c>
      <c r="B162" s="1" t="s">
        <v>76</v>
      </c>
      <c r="C162" s="1" t="s">
        <v>37</v>
      </c>
      <c r="D162" s="1" t="s">
        <v>38</v>
      </c>
      <c r="E162" s="5">
        <v>45643</v>
      </c>
      <c r="F162" s="5">
        <v>45679</v>
      </c>
      <c r="G162" s="2">
        <v>72.400000000000006</v>
      </c>
      <c r="H162" s="3">
        <v>2240</v>
      </c>
      <c r="I162" s="3">
        <v>18</v>
      </c>
      <c r="J162" s="3">
        <v>0</v>
      </c>
      <c r="K162" s="2">
        <v>0</v>
      </c>
      <c r="L162" s="6">
        <f t="shared" si="10"/>
        <v>8.0357142857142849E-3</v>
      </c>
      <c r="M162" s="6">
        <f t="shared" si="11"/>
        <v>0</v>
      </c>
      <c r="N162" s="7">
        <f t="shared" si="12"/>
        <v>0</v>
      </c>
      <c r="O162" s="8">
        <f t="shared" si="13"/>
        <v>4.0222222222222221</v>
      </c>
      <c r="P162" s="8">
        <f t="shared" si="14"/>
        <v>0</v>
      </c>
    </row>
    <row r="163" spans="1:16" x14ac:dyDescent="0.35">
      <c r="A163" s="1">
        <v>5161</v>
      </c>
      <c r="B163" s="1" t="s">
        <v>68</v>
      </c>
      <c r="C163" s="1" t="s">
        <v>60</v>
      </c>
      <c r="D163" s="1" t="s">
        <v>18</v>
      </c>
      <c r="E163" s="5">
        <v>45495</v>
      </c>
      <c r="F163" s="5">
        <v>45536</v>
      </c>
      <c r="G163" s="2">
        <v>4719.58</v>
      </c>
      <c r="H163" s="3">
        <v>278277</v>
      </c>
      <c r="I163" s="3">
        <v>2625</v>
      </c>
      <c r="J163" s="3">
        <v>90</v>
      </c>
      <c r="K163" s="2">
        <v>3839.4</v>
      </c>
      <c r="L163" s="6">
        <f t="shared" si="10"/>
        <v>9.433046928060889E-3</v>
      </c>
      <c r="M163" s="6">
        <f t="shared" si="11"/>
        <v>3.4285714285714287E-2</v>
      </c>
      <c r="N163" s="7">
        <f t="shared" si="12"/>
        <v>0.81350459151026155</v>
      </c>
      <c r="O163" s="8">
        <f t="shared" si="13"/>
        <v>1.797935238095238</v>
      </c>
      <c r="P163" s="8">
        <f t="shared" si="14"/>
        <v>52.439777777777778</v>
      </c>
    </row>
    <row r="164" spans="1:16" x14ac:dyDescent="0.35">
      <c r="A164" s="1">
        <v>5162</v>
      </c>
      <c r="B164" s="1" t="s">
        <v>92</v>
      </c>
      <c r="C164" s="1" t="s">
        <v>25</v>
      </c>
      <c r="D164" s="1" t="s">
        <v>18</v>
      </c>
      <c r="E164" s="5">
        <v>45589</v>
      </c>
      <c r="F164" s="5">
        <v>45617</v>
      </c>
      <c r="G164" s="2">
        <v>809.77</v>
      </c>
      <c r="H164" s="3">
        <v>118043</v>
      </c>
      <c r="I164" s="3">
        <v>2099</v>
      </c>
      <c r="J164" s="3">
        <v>71</v>
      </c>
      <c r="K164" s="2">
        <v>1836.77</v>
      </c>
      <c r="L164" s="6">
        <f t="shared" si="10"/>
        <v>1.7781655837279635E-2</v>
      </c>
      <c r="M164" s="6">
        <f t="shared" si="11"/>
        <v>3.3825631252977606E-2</v>
      </c>
      <c r="N164" s="7">
        <f t="shared" si="12"/>
        <v>2.268261358163429</v>
      </c>
      <c r="O164" s="8">
        <f t="shared" si="13"/>
        <v>0.38578847070033351</v>
      </c>
      <c r="P164" s="8">
        <f t="shared" si="14"/>
        <v>11.405211267605633</v>
      </c>
    </row>
    <row r="165" spans="1:16" x14ac:dyDescent="0.35">
      <c r="A165" s="1">
        <v>5163</v>
      </c>
      <c r="B165" s="1" t="s">
        <v>79</v>
      </c>
      <c r="C165" s="1" t="s">
        <v>28</v>
      </c>
      <c r="D165" s="1" t="s">
        <v>26</v>
      </c>
      <c r="E165" s="5">
        <v>45810</v>
      </c>
      <c r="F165" s="5">
        <v>45842</v>
      </c>
      <c r="G165" s="2">
        <v>7505.22</v>
      </c>
      <c r="H165" s="3">
        <v>345385</v>
      </c>
      <c r="I165" s="3">
        <v>19084</v>
      </c>
      <c r="J165" s="3">
        <v>979</v>
      </c>
      <c r="K165" s="2">
        <v>115796.12</v>
      </c>
      <c r="L165" s="6">
        <f t="shared" si="10"/>
        <v>5.5254281454029559E-2</v>
      </c>
      <c r="M165" s="6">
        <f t="shared" si="11"/>
        <v>5.129951792077133E-2</v>
      </c>
      <c r="N165" s="7">
        <f t="shared" si="12"/>
        <v>15.428744260661245</v>
      </c>
      <c r="O165" s="8">
        <f t="shared" si="13"/>
        <v>0.39327289876336197</v>
      </c>
      <c r="P165" s="8">
        <f t="shared" si="14"/>
        <v>7.6662104187946891</v>
      </c>
    </row>
    <row r="166" spans="1:16" x14ac:dyDescent="0.35">
      <c r="A166" s="1">
        <v>5164</v>
      </c>
      <c r="B166" s="1" t="s">
        <v>88</v>
      </c>
      <c r="C166" s="1" t="s">
        <v>60</v>
      </c>
      <c r="D166" s="1" t="s">
        <v>18</v>
      </c>
      <c r="E166" s="5">
        <v>45524</v>
      </c>
      <c r="F166" s="5">
        <v>45536</v>
      </c>
      <c r="G166" s="2">
        <v>7925.42</v>
      </c>
      <c r="H166" s="3">
        <v>460245</v>
      </c>
      <c r="I166" s="3">
        <v>8843</v>
      </c>
      <c r="J166" s="3">
        <v>112</v>
      </c>
      <c r="K166" s="2">
        <v>3806.88</v>
      </c>
      <c r="L166" s="6">
        <f t="shared" si="10"/>
        <v>1.9213679670610218E-2</v>
      </c>
      <c r="M166" s="6">
        <f t="shared" si="11"/>
        <v>1.2665385050322289E-2</v>
      </c>
      <c r="N166" s="7">
        <f t="shared" si="12"/>
        <v>0.48033795054394596</v>
      </c>
      <c r="O166" s="8">
        <f t="shared" si="13"/>
        <v>0.89623657129933276</v>
      </c>
      <c r="P166" s="8">
        <f t="shared" si="14"/>
        <v>70.762678571428566</v>
      </c>
    </row>
    <row r="167" spans="1:16" x14ac:dyDescent="0.35">
      <c r="A167" s="1">
        <v>5165</v>
      </c>
      <c r="B167" s="1" t="s">
        <v>27</v>
      </c>
      <c r="C167" s="1" t="s">
        <v>28</v>
      </c>
      <c r="D167" s="1" t="s">
        <v>20</v>
      </c>
      <c r="E167" s="5">
        <v>45698</v>
      </c>
      <c r="F167" s="5">
        <v>45723</v>
      </c>
      <c r="G167" s="2">
        <v>1970.07</v>
      </c>
      <c r="H167" s="3">
        <v>129952</v>
      </c>
      <c r="I167" s="3">
        <v>4324</v>
      </c>
      <c r="J167" s="3">
        <v>155</v>
      </c>
      <c r="K167" s="2">
        <v>14591.7</v>
      </c>
      <c r="L167" s="6">
        <f t="shared" si="10"/>
        <v>3.3273824181236152E-2</v>
      </c>
      <c r="M167" s="6">
        <f t="shared" si="11"/>
        <v>3.5846438482886218E-2</v>
      </c>
      <c r="N167" s="7">
        <f t="shared" si="12"/>
        <v>7.4066911328023881</v>
      </c>
      <c r="O167" s="8">
        <f t="shared" si="13"/>
        <v>0.45561285846438482</v>
      </c>
      <c r="P167" s="8">
        <f t="shared" si="14"/>
        <v>12.710129032258065</v>
      </c>
    </row>
    <row r="168" spans="1:16" x14ac:dyDescent="0.35">
      <c r="A168" s="1">
        <v>5166</v>
      </c>
      <c r="B168" s="1" t="s">
        <v>67</v>
      </c>
      <c r="C168" s="1" t="s">
        <v>60</v>
      </c>
      <c r="D168" s="1" t="s">
        <v>18</v>
      </c>
      <c r="E168" s="5">
        <v>45569</v>
      </c>
      <c r="F168" s="5">
        <v>45592</v>
      </c>
      <c r="G168" s="2">
        <v>2127.1799999999998</v>
      </c>
      <c r="H168" s="3">
        <v>270633</v>
      </c>
      <c r="I168" s="3">
        <v>4115</v>
      </c>
      <c r="J168" s="3">
        <v>123</v>
      </c>
      <c r="K168" s="2">
        <v>9276.66</v>
      </c>
      <c r="L168" s="6">
        <f t="shared" si="10"/>
        <v>1.5205093244356749E-2</v>
      </c>
      <c r="M168" s="6">
        <f t="shared" si="11"/>
        <v>2.9890643985419199E-2</v>
      </c>
      <c r="N168" s="7">
        <f t="shared" si="12"/>
        <v>4.3610131723690522</v>
      </c>
      <c r="O168" s="8">
        <f t="shared" si="13"/>
        <v>0.51693317132442285</v>
      </c>
      <c r="P168" s="8">
        <f t="shared" si="14"/>
        <v>17.294146341463414</v>
      </c>
    </row>
    <row r="169" spans="1:16" x14ac:dyDescent="0.35">
      <c r="A169" s="1">
        <v>5167</v>
      </c>
      <c r="B169" s="1" t="s">
        <v>122</v>
      </c>
      <c r="C169" s="1" t="s">
        <v>28</v>
      </c>
      <c r="D169" s="1" t="s">
        <v>18</v>
      </c>
      <c r="E169" s="5">
        <v>45763</v>
      </c>
      <c r="F169" s="5">
        <v>45780</v>
      </c>
      <c r="G169" s="2">
        <v>186.16</v>
      </c>
      <c r="H169" s="3">
        <v>7592</v>
      </c>
      <c r="I169" s="3">
        <v>399</v>
      </c>
      <c r="J169" s="3">
        <v>39</v>
      </c>
      <c r="K169" s="2">
        <v>1531.14</v>
      </c>
      <c r="L169" s="6">
        <f t="shared" si="10"/>
        <v>5.2555321390937826E-2</v>
      </c>
      <c r="M169" s="6">
        <f t="shared" si="11"/>
        <v>9.7744360902255634E-2</v>
      </c>
      <c r="N169" s="7">
        <f t="shared" si="12"/>
        <v>8.2248603351955314</v>
      </c>
      <c r="O169" s="8">
        <f t="shared" si="13"/>
        <v>0.46656641604010024</v>
      </c>
      <c r="P169" s="8">
        <f t="shared" si="14"/>
        <v>4.7733333333333334</v>
      </c>
    </row>
    <row r="170" spans="1:16" x14ac:dyDescent="0.35">
      <c r="A170" s="1">
        <v>5168</v>
      </c>
      <c r="B170" s="1" t="s">
        <v>111</v>
      </c>
      <c r="C170" s="1" t="s">
        <v>25</v>
      </c>
      <c r="D170" s="1" t="s">
        <v>26</v>
      </c>
      <c r="E170" s="5">
        <v>45751</v>
      </c>
      <c r="F170" s="5">
        <v>45785</v>
      </c>
      <c r="G170" s="2">
        <v>180.05</v>
      </c>
      <c r="H170" s="3">
        <v>26953</v>
      </c>
      <c r="I170" s="3">
        <v>1312</v>
      </c>
      <c r="J170" s="3">
        <v>26</v>
      </c>
      <c r="K170" s="2">
        <v>2313.7399999999998</v>
      </c>
      <c r="L170" s="6">
        <f t="shared" si="10"/>
        <v>4.8677327199198608E-2</v>
      </c>
      <c r="M170" s="6">
        <f t="shared" si="11"/>
        <v>1.9817073170731708E-2</v>
      </c>
      <c r="N170" s="7">
        <f t="shared" si="12"/>
        <v>12.850541516245485</v>
      </c>
      <c r="O170" s="8">
        <f t="shared" si="13"/>
        <v>0.13723323170731708</v>
      </c>
      <c r="P170" s="8">
        <f t="shared" si="14"/>
        <v>6.9250000000000007</v>
      </c>
    </row>
    <row r="171" spans="1:16" x14ac:dyDescent="0.35">
      <c r="A171" s="1">
        <v>5169</v>
      </c>
      <c r="B171" s="1" t="s">
        <v>126</v>
      </c>
      <c r="C171" s="1" t="s">
        <v>28</v>
      </c>
      <c r="D171" s="1" t="s">
        <v>23</v>
      </c>
      <c r="E171" s="5">
        <v>45519</v>
      </c>
      <c r="F171" s="5">
        <v>45528</v>
      </c>
      <c r="G171" s="2">
        <v>6568.81</v>
      </c>
      <c r="H171" s="3">
        <v>387312</v>
      </c>
      <c r="I171" s="3">
        <v>19861</v>
      </c>
      <c r="J171" s="3">
        <v>1010</v>
      </c>
      <c r="K171" s="2">
        <v>90213.2</v>
      </c>
      <c r="L171" s="6">
        <f t="shared" si="10"/>
        <v>5.1279072169207254E-2</v>
      </c>
      <c r="M171" s="6">
        <f t="shared" si="11"/>
        <v>5.0853431347867684E-2</v>
      </c>
      <c r="N171" s="7">
        <f t="shared" si="12"/>
        <v>13.733568180538025</v>
      </c>
      <c r="O171" s="8">
        <f t="shared" si="13"/>
        <v>0.33073913700216506</v>
      </c>
      <c r="P171" s="8">
        <f t="shared" si="14"/>
        <v>6.5037722772277231</v>
      </c>
    </row>
    <row r="172" spans="1:16" x14ac:dyDescent="0.35">
      <c r="A172" s="1">
        <v>5170</v>
      </c>
      <c r="B172" s="1" t="s">
        <v>34</v>
      </c>
      <c r="C172" s="1" t="s">
        <v>22</v>
      </c>
      <c r="D172" s="1" t="s">
        <v>23</v>
      </c>
      <c r="E172" s="5">
        <v>45478</v>
      </c>
      <c r="F172" s="5">
        <v>45481</v>
      </c>
      <c r="G172" s="2">
        <v>432.28</v>
      </c>
      <c r="H172" s="3">
        <v>306584</v>
      </c>
      <c r="I172" s="3">
        <v>15966</v>
      </c>
      <c r="J172" s="3">
        <v>1088</v>
      </c>
      <c r="K172" s="2">
        <v>100574.72</v>
      </c>
      <c r="L172" s="6">
        <f t="shared" si="10"/>
        <v>5.2077081648096442E-2</v>
      </c>
      <c r="M172" s="6">
        <f t="shared" si="11"/>
        <v>6.8144807716397346E-2</v>
      </c>
      <c r="N172" s="7">
        <f t="shared" si="12"/>
        <v>232.66105302118999</v>
      </c>
      <c r="O172" s="8">
        <f t="shared" si="13"/>
        <v>2.7075034448202428E-2</v>
      </c>
      <c r="P172" s="8">
        <f t="shared" si="14"/>
        <v>0.3973161764705882</v>
      </c>
    </row>
    <row r="173" spans="1:16" x14ac:dyDescent="0.35">
      <c r="A173" s="1">
        <v>5171</v>
      </c>
      <c r="B173" s="1" t="s">
        <v>127</v>
      </c>
      <c r="C173" s="1" t="s">
        <v>25</v>
      </c>
      <c r="D173" s="1" t="s">
        <v>20</v>
      </c>
      <c r="E173" s="5">
        <v>45790</v>
      </c>
      <c r="F173" s="5">
        <v>45834</v>
      </c>
      <c r="G173" s="2">
        <v>3089.86</v>
      </c>
      <c r="H173" s="3">
        <v>451734</v>
      </c>
      <c r="I173" s="3">
        <v>16388</v>
      </c>
      <c r="J173" s="3">
        <v>889</v>
      </c>
      <c r="K173" s="2">
        <v>49401.73</v>
      </c>
      <c r="L173" s="6">
        <f t="shared" si="10"/>
        <v>3.6277986602735235E-2</v>
      </c>
      <c r="M173" s="6">
        <f t="shared" si="11"/>
        <v>5.4247010007322433E-2</v>
      </c>
      <c r="N173" s="7">
        <f t="shared" si="12"/>
        <v>15.98833927750772</v>
      </c>
      <c r="O173" s="8">
        <f t="shared" si="13"/>
        <v>0.1885440566268001</v>
      </c>
      <c r="P173" s="8">
        <f t="shared" si="14"/>
        <v>3.4756580427446568</v>
      </c>
    </row>
    <row r="174" spans="1:16" x14ac:dyDescent="0.35">
      <c r="A174" s="1">
        <v>5172</v>
      </c>
      <c r="B174" s="1" t="s">
        <v>96</v>
      </c>
      <c r="C174" s="1" t="s">
        <v>41</v>
      </c>
      <c r="D174" s="1" t="s">
        <v>38</v>
      </c>
      <c r="E174" s="5">
        <v>45686</v>
      </c>
      <c r="F174" s="5">
        <v>45710</v>
      </c>
      <c r="G174" s="2">
        <v>3082.3</v>
      </c>
      <c r="H174" s="3">
        <v>333582</v>
      </c>
      <c r="I174" s="3">
        <v>11477</v>
      </c>
      <c r="J174" s="3">
        <v>231</v>
      </c>
      <c r="K174" s="2">
        <v>12476.31</v>
      </c>
      <c r="L174" s="6">
        <f t="shared" si="10"/>
        <v>3.4405333621118646E-2</v>
      </c>
      <c r="M174" s="6">
        <f t="shared" si="11"/>
        <v>2.0127210943626385E-2</v>
      </c>
      <c r="N174" s="7">
        <f t="shared" si="12"/>
        <v>4.0477273464620573</v>
      </c>
      <c r="O174" s="8">
        <f t="shared" si="13"/>
        <v>0.26856321338328831</v>
      </c>
      <c r="P174" s="8">
        <f t="shared" si="14"/>
        <v>13.343290043290043</v>
      </c>
    </row>
    <row r="175" spans="1:16" x14ac:dyDescent="0.35">
      <c r="A175" s="1">
        <v>5173</v>
      </c>
      <c r="B175" s="1" t="s">
        <v>63</v>
      </c>
      <c r="C175" s="1" t="s">
        <v>17</v>
      </c>
      <c r="D175" s="1" t="s">
        <v>23</v>
      </c>
      <c r="E175" s="5">
        <v>45615</v>
      </c>
      <c r="F175" s="5">
        <v>45652</v>
      </c>
      <c r="G175" s="2">
        <v>477.25</v>
      </c>
      <c r="H175" s="3">
        <v>46789</v>
      </c>
      <c r="I175" s="3">
        <v>1209</v>
      </c>
      <c r="J175" s="3">
        <v>26</v>
      </c>
      <c r="K175" s="2">
        <v>1151.28</v>
      </c>
      <c r="L175" s="6">
        <f t="shared" si="10"/>
        <v>2.583940669815555E-2</v>
      </c>
      <c r="M175" s="6">
        <f t="shared" si="11"/>
        <v>2.1505376344086023E-2</v>
      </c>
      <c r="N175" s="7">
        <f t="shared" si="12"/>
        <v>2.4123205866946043</v>
      </c>
      <c r="O175" s="8">
        <f t="shared" si="13"/>
        <v>0.39474772539288666</v>
      </c>
      <c r="P175" s="8">
        <f t="shared" si="14"/>
        <v>18.35576923076923</v>
      </c>
    </row>
    <row r="176" spans="1:16" x14ac:dyDescent="0.35">
      <c r="A176" s="1">
        <v>5174</v>
      </c>
      <c r="B176" s="1" t="s">
        <v>128</v>
      </c>
      <c r="C176" s="1" t="s">
        <v>28</v>
      </c>
      <c r="D176" s="1" t="s">
        <v>26</v>
      </c>
      <c r="E176" s="5">
        <v>45730</v>
      </c>
      <c r="F176" s="5">
        <v>45757</v>
      </c>
      <c r="G176" s="2">
        <v>5835.7</v>
      </c>
      <c r="H176" s="3">
        <v>406386</v>
      </c>
      <c r="I176" s="3">
        <v>29882</v>
      </c>
      <c r="J176" s="3">
        <v>2226</v>
      </c>
      <c r="K176" s="2">
        <v>165859.26</v>
      </c>
      <c r="L176" s="6">
        <f t="shared" si="10"/>
        <v>7.3531076365819695E-2</v>
      </c>
      <c r="M176" s="6">
        <f t="shared" si="11"/>
        <v>7.4493005822903427E-2</v>
      </c>
      <c r="N176" s="7">
        <f t="shared" si="12"/>
        <v>28.421484997515297</v>
      </c>
      <c r="O176" s="8">
        <f t="shared" si="13"/>
        <v>0.19529147982062781</v>
      </c>
      <c r="P176" s="8">
        <f t="shared" si="14"/>
        <v>2.6216082659478883</v>
      </c>
    </row>
    <row r="177" spans="1:16" x14ac:dyDescent="0.35">
      <c r="A177" s="1">
        <v>5175</v>
      </c>
      <c r="B177" s="1" t="s">
        <v>129</v>
      </c>
      <c r="C177" s="1" t="s">
        <v>47</v>
      </c>
      <c r="D177" s="1" t="s">
        <v>23</v>
      </c>
      <c r="E177" s="5">
        <v>45539</v>
      </c>
      <c r="F177" s="5">
        <v>45566</v>
      </c>
      <c r="G177" s="2">
        <v>141.36000000000001</v>
      </c>
      <c r="H177" s="3">
        <v>13791</v>
      </c>
      <c r="I177" s="3">
        <v>385</v>
      </c>
      <c r="J177" s="3">
        <v>12</v>
      </c>
      <c r="K177" s="2">
        <v>365.16</v>
      </c>
      <c r="L177" s="6">
        <f t="shared" si="10"/>
        <v>2.7916757305489086E-2</v>
      </c>
      <c r="M177" s="6">
        <f t="shared" si="11"/>
        <v>3.1168831168831169E-2</v>
      </c>
      <c r="N177" s="7">
        <f t="shared" si="12"/>
        <v>2.5831918505942273</v>
      </c>
      <c r="O177" s="8">
        <f t="shared" si="13"/>
        <v>0.3671688311688312</v>
      </c>
      <c r="P177" s="8">
        <f t="shared" si="14"/>
        <v>11.780000000000001</v>
      </c>
    </row>
    <row r="178" spans="1:16" x14ac:dyDescent="0.35">
      <c r="A178" s="1">
        <v>5176</v>
      </c>
      <c r="B178" s="1" t="s">
        <v>130</v>
      </c>
      <c r="C178" s="1" t="s">
        <v>41</v>
      </c>
      <c r="D178" s="1" t="s">
        <v>20</v>
      </c>
      <c r="E178" s="5">
        <v>45737</v>
      </c>
      <c r="F178" s="5">
        <v>45766</v>
      </c>
      <c r="G178" s="2">
        <v>485.06</v>
      </c>
      <c r="H178" s="3">
        <v>94553</v>
      </c>
      <c r="I178" s="3">
        <v>2251</v>
      </c>
      <c r="J178" s="3">
        <v>57</v>
      </c>
      <c r="K178" s="2">
        <v>1512.21</v>
      </c>
      <c r="L178" s="6">
        <f t="shared" si="10"/>
        <v>2.3806753884065023E-2</v>
      </c>
      <c r="M178" s="6">
        <f t="shared" si="11"/>
        <v>2.5322079075966238E-2</v>
      </c>
      <c r="N178" s="7">
        <f t="shared" si="12"/>
        <v>3.1175730837422173</v>
      </c>
      <c r="O178" s="8">
        <f t="shared" si="13"/>
        <v>0.21548645046645934</v>
      </c>
      <c r="P178" s="8">
        <f t="shared" si="14"/>
        <v>8.5098245614035086</v>
      </c>
    </row>
    <row r="179" spans="1:16" x14ac:dyDescent="0.35">
      <c r="A179" s="1">
        <v>5177</v>
      </c>
      <c r="B179" s="1" t="s">
        <v>68</v>
      </c>
      <c r="C179" s="1" t="s">
        <v>60</v>
      </c>
      <c r="D179" s="1" t="s">
        <v>23</v>
      </c>
      <c r="E179" s="5">
        <v>45619</v>
      </c>
      <c r="F179" s="5">
        <v>45628</v>
      </c>
      <c r="G179" s="2">
        <v>811.05</v>
      </c>
      <c r="H179" s="3">
        <v>128943</v>
      </c>
      <c r="I179" s="3">
        <v>2255</v>
      </c>
      <c r="J179" s="3">
        <v>25</v>
      </c>
      <c r="K179" s="2">
        <v>820.75</v>
      </c>
      <c r="L179" s="6">
        <f t="shared" si="10"/>
        <v>1.7488347564427693E-2</v>
      </c>
      <c r="M179" s="6">
        <f t="shared" si="11"/>
        <v>1.1086474501108648E-2</v>
      </c>
      <c r="N179" s="7">
        <f t="shared" si="12"/>
        <v>1.0119598051908021</v>
      </c>
      <c r="O179" s="8">
        <f t="shared" si="13"/>
        <v>0.3596674057649667</v>
      </c>
      <c r="P179" s="8">
        <f t="shared" si="14"/>
        <v>32.442</v>
      </c>
    </row>
    <row r="180" spans="1:16" x14ac:dyDescent="0.35">
      <c r="A180" s="1">
        <v>5178</v>
      </c>
      <c r="B180" s="1" t="s">
        <v>131</v>
      </c>
      <c r="C180" s="1" t="s">
        <v>25</v>
      </c>
      <c r="D180" s="1" t="s">
        <v>20</v>
      </c>
      <c r="E180" s="5">
        <v>45480</v>
      </c>
      <c r="F180" s="5">
        <v>45490</v>
      </c>
      <c r="G180" s="2">
        <v>328.68</v>
      </c>
      <c r="H180" s="3">
        <v>134156</v>
      </c>
      <c r="I180" s="3">
        <v>6182</v>
      </c>
      <c r="J180" s="3">
        <v>382</v>
      </c>
      <c r="K180" s="2">
        <v>37439.82</v>
      </c>
      <c r="L180" s="6">
        <f t="shared" si="10"/>
        <v>4.6080682190882259E-2</v>
      </c>
      <c r="M180" s="6">
        <f t="shared" si="11"/>
        <v>6.1792300226463925E-2</v>
      </c>
      <c r="N180" s="7">
        <f t="shared" si="12"/>
        <v>113.90963855421687</v>
      </c>
      <c r="O180" s="8">
        <f t="shared" si="13"/>
        <v>5.3167259786476871E-2</v>
      </c>
      <c r="P180" s="8">
        <f t="shared" si="14"/>
        <v>0.86041884816753933</v>
      </c>
    </row>
    <row r="181" spans="1:16" x14ac:dyDescent="0.35">
      <c r="A181" s="1">
        <v>5179</v>
      </c>
      <c r="B181" s="1" t="s">
        <v>132</v>
      </c>
      <c r="C181" s="1" t="s">
        <v>25</v>
      </c>
      <c r="D181" s="1" t="s">
        <v>23</v>
      </c>
      <c r="E181" s="5">
        <v>45476</v>
      </c>
      <c r="F181" s="5">
        <v>45497</v>
      </c>
      <c r="G181" s="2">
        <v>1039.2</v>
      </c>
      <c r="H181" s="3">
        <v>215601</v>
      </c>
      <c r="I181" s="3">
        <v>4593</v>
      </c>
      <c r="J181" s="3">
        <v>195</v>
      </c>
      <c r="K181" s="2">
        <v>17195.099999999999</v>
      </c>
      <c r="L181" s="6">
        <f t="shared" si="10"/>
        <v>2.1303240708531037E-2</v>
      </c>
      <c r="M181" s="6">
        <f t="shared" si="11"/>
        <v>4.2455911169170475E-2</v>
      </c>
      <c r="N181" s="7">
        <f t="shared" si="12"/>
        <v>16.546478060046187</v>
      </c>
      <c r="O181" s="8">
        <f t="shared" si="13"/>
        <v>0.22625734813847159</v>
      </c>
      <c r="P181" s="8">
        <f t="shared" si="14"/>
        <v>5.3292307692307697</v>
      </c>
    </row>
    <row r="182" spans="1:16" x14ac:dyDescent="0.35">
      <c r="A182" s="1">
        <v>5180</v>
      </c>
      <c r="B182" s="1" t="s">
        <v>107</v>
      </c>
      <c r="C182" s="1" t="s">
        <v>47</v>
      </c>
      <c r="D182" s="1" t="s">
        <v>18</v>
      </c>
      <c r="E182" s="5">
        <v>45467</v>
      </c>
      <c r="F182" s="5">
        <v>45478</v>
      </c>
      <c r="G182" s="2">
        <v>2611.44</v>
      </c>
      <c r="H182" s="3">
        <v>290806</v>
      </c>
      <c r="I182" s="3">
        <v>10074</v>
      </c>
      <c r="J182" s="3">
        <v>280</v>
      </c>
      <c r="K182" s="2">
        <v>20543.599999999999</v>
      </c>
      <c r="L182" s="6">
        <f t="shared" si="10"/>
        <v>3.4641651135121007E-2</v>
      </c>
      <c r="M182" s="6">
        <f t="shared" si="11"/>
        <v>2.7794322017073655E-2</v>
      </c>
      <c r="N182" s="7">
        <f t="shared" si="12"/>
        <v>7.8667708237600706</v>
      </c>
      <c r="O182" s="8">
        <f t="shared" si="13"/>
        <v>0.25922572960095297</v>
      </c>
      <c r="P182" s="8">
        <f t="shared" si="14"/>
        <v>9.3265714285714285</v>
      </c>
    </row>
    <row r="183" spans="1:16" x14ac:dyDescent="0.35">
      <c r="A183" s="1">
        <v>5181</v>
      </c>
      <c r="B183" s="1" t="s">
        <v>21</v>
      </c>
      <c r="C183" s="1" t="s">
        <v>22</v>
      </c>
      <c r="D183" s="1" t="s">
        <v>26</v>
      </c>
      <c r="E183" s="5">
        <v>45687</v>
      </c>
      <c r="F183" s="5">
        <v>45700</v>
      </c>
      <c r="G183" s="2">
        <v>174.82</v>
      </c>
      <c r="H183" s="3">
        <v>107253</v>
      </c>
      <c r="I183" s="3">
        <v>5730</v>
      </c>
      <c r="J183" s="3">
        <v>584</v>
      </c>
      <c r="K183" s="2">
        <v>43659.839999999997</v>
      </c>
      <c r="L183" s="6">
        <f t="shared" si="10"/>
        <v>5.3425079018768709E-2</v>
      </c>
      <c r="M183" s="6">
        <f t="shared" si="11"/>
        <v>0.10191972076788831</v>
      </c>
      <c r="N183" s="7">
        <f t="shared" si="12"/>
        <v>249.74167715364374</v>
      </c>
      <c r="O183" s="8">
        <f t="shared" si="13"/>
        <v>3.0509598603839439E-2</v>
      </c>
      <c r="P183" s="8">
        <f t="shared" si="14"/>
        <v>0.29934931506849316</v>
      </c>
    </row>
    <row r="184" spans="1:16" x14ac:dyDescent="0.35">
      <c r="A184" s="1">
        <v>5182</v>
      </c>
      <c r="B184" s="1" t="s">
        <v>133</v>
      </c>
      <c r="C184" s="1" t="s">
        <v>41</v>
      </c>
      <c r="D184" s="1" t="s">
        <v>20</v>
      </c>
      <c r="E184" s="5">
        <v>45638</v>
      </c>
      <c r="F184" s="5">
        <v>45658</v>
      </c>
      <c r="G184" s="2">
        <v>48.26</v>
      </c>
      <c r="H184" s="3">
        <v>14362</v>
      </c>
      <c r="I184" s="3">
        <v>515</v>
      </c>
      <c r="J184" s="3">
        <v>4</v>
      </c>
      <c r="K184" s="2">
        <v>218.16</v>
      </c>
      <c r="L184" s="6">
        <f t="shared" si="10"/>
        <v>3.5858515527085362E-2</v>
      </c>
      <c r="M184" s="6">
        <f t="shared" si="11"/>
        <v>7.7669902912621356E-3</v>
      </c>
      <c r="N184" s="7">
        <f t="shared" si="12"/>
        <v>4.5205138831330292</v>
      </c>
      <c r="O184" s="8">
        <f t="shared" si="13"/>
        <v>9.3708737864077671E-2</v>
      </c>
      <c r="P184" s="8">
        <f t="shared" si="14"/>
        <v>12.065</v>
      </c>
    </row>
    <row r="185" spans="1:16" x14ac:dyDescent="0.35">
      <c r="A185" s="1">
        <v>5183</v>
      </c>
      <c r="B185" s="1" t="s">
        <v>119</v>
      </c>
      <c r="C185" s="1" t="s">
        <v>60</v>
      </c>
      <c r="D185" s="1" t="s">
        <v>38</v>
      </c>
      <c r="E185" s="5">
        <v>45725</v>
      </c>
      <c r="F185" s="5">
        <v>45738</v>
      </c>
      <c r="G185" s="2">
        <v>1840.96</v>
      </c>
      <c r="H185" s="3">
        <v>225056</v>
      </c>
      <c r="I185" s="3">
        <v>3714</v>
      </c>
      <c r="J185" s="3">
        <v>94</v>
      </c>
      <c r="K185" s="2">
        <v>1960.84</v>
      </c>
      <c r="L185" s="6">
        <f t="shared" si="10"/>
        <v>1.6502559363002985E-2</v>
      </c>
      <c r="M185" s="6">
        <f t="shared" si="11"/>
        <v>2.5309639203015617E-2</v>
      </c>
      <c r="N185" s="7">
        <f t="shared" si="12"/>
        <v>1.0651181992004171</v>
      </c>
      <c r="O185" s="8">
        <f t="shared" si="13"/>
        <v>0.49568120624663436</v>
      </c>
      <c r="P185" s="8">
        <f t="shared" si="14"/>
        <v>19.58468085106383</v>
      </c>
    </row>
    <row r="186" spans="1:16" x14ac:dyDescent="0.35">
      <c r="A186" s="1">
        <v>5184</v>
      </c>
      <c r="B186" s="1" t="s">
        <v>89</v>
      </c>
      <c r="C186" s="1" t="s">
        <v>25</v>
      </c>
      <c r="D186" s="1" t="s">
        <v>23</v>
      </c>
      <c r="E186" s="5">
        <v>45627</v>
      </c>
      <c r="F186" s="5">
        <v>45662</v>
      </c>
      <c r="G186" s="2">
        <v>1378.99</v>
      </c>
      <c r="H186" s="3">
        <v>480483</v>
      </c>
      <c r="I186" s="3">
        <v>15033</v>
      </c>
      <c r="J186" s="3">
        <v>1117</v>
      </c>
      <c r="K186" s="2">
        <v>88075.45</v>
      </c>
      <c r="L186" s="6">
        <f t="shared" si="10"/>
        <v>3.1287267187392685E-2</v>
      </c>
      <c r="M186" s="6">
        <f t="shared" si="11"/>
        <v>7.4303199627486202E-2</v>
      </c>
      <c r="N186" s="7">
        <f t="shared" si="12"/>
        <v>63.869534949492014</v>
      </c>
      <c r="O186" s="8">
        <f t="shared" si="13"/>
        <v>9.1730858777356483E-2</v>
      </c>
      <c r="P186" s="8">
        <f t="shared" si="14"/>
        <v>1.2345478961504028</v>
      </c>
    </row>
    <row r="187" spans="1:16" x14ac:dyDescent="0.35">
      <c r="A187" s="1">
        <v>5185</v>
      </c>
      <c r="B187" s="1" t="s">
        <v>30</v>
      </c>
      <c r="C187" s="1" t="s">
        <v>25</v>
      </c>
      <c r="D187" s="1" t="s">
        <v>20</v>
      </c>
      <c r="E187" s="5">
        <v>45791</v>
      </c>
      <c r="F187" s="5">
        <v>45801</v>
      </c>
      <c r="G187" s="2">
        <v>166.78</v>
      </c>
      <c r="H187" s="3">
        <v>29363</v>
      </c>
      <c r="I187" s="3">
        <v>1285</v>
      </c>
      <c r="J187" s="3">
        <v>42</v>
      </c>
      <c r="K187" s="2">
        <v>1368.78</v>
      </c>
      <c r="L187" s="6">
        <f t="shared" si="10"/>
        <v>4.3762558321697377E-2</v>
      </c>
      <c r="M187" s="6">
        <f t="shared" si="11"/>
        <v>3.2684824902723737E-2</v>
      </c>
      <c r="N187" s="7">
        <f t="shared" si="12"/>
        <v>8.207099172562657</v>
      </c>
      <c r="O187" s="8">
        <f t="shared" si="13"/>
        <v>0.12978988326848248</v>
      </c>
      <c r="P187" s="8">
        <f t="shared" si="14"/>
        <v>3.9709523809523808</v>
      </c>
    </row>
    <row r="188" spans="1:16" x14ac:dyDescent="0.35">
      <c r="A188" s="1">
        <v>5186</v>
      </c>
      <c r="B188" s="1" t="s">
        <v>134</v>
      </c>
      <c r="C188" s="1" t="s">
        <v>17</v>
      </c>
      <c r="D188" s="1" t="s">
        <v>26</v>
      </c>
      <c r="E188" s="5">
        <v>45728</v>
      </c>
      <c r="F188" s="5">
        <v>45748</v>
      </c>
      <c r="G188" s="2">
        <v>2358.4899999999998</v>
      </c>
      <c r="H188" s="3">
        <v>405936</v>
      </c>
      <c r="I188" s="3">
        <v>10434</v>
      </c>
      <c r="J188" s="3">
        <v>505</v>
      </c>
      <c r="K188" s="2">
        <v>38632.5</v>
      </c>
      <c r="L188" s="6">
        <f t="shared" si="10"/>
        <v>2.5703559181742934E-2</v>
      </c>
      <c r="M188" s="6">
        <f t="shared" si="11"/>
        <v>4.8399463293080314E-2</v>
      </c>
      <c r="N188" s="7">
        <f t="shared" si="12"/>
        <v>16.380183931244144</v>
      </c>
      <c r="O188" s="8">
        <f t="shared" si="13"/>
        <v>0.22603891125167719</v>
      </c>
      <c r="P188" s="8">
        <f t="shared" si="14"/>
        <v>4.6702772277227718</v>
      </c>
    </row>
    <row r="189" spans="1:16" x14ac:dyDescent="0.35">
      <c r="A189" s="1">
        <v>5187</v>
      </c>
      <c r="B189" s="1" t="s">
        <v>105</v>
      </c>
      <c r="C189" s="1" t="s">
        <v>17</v>
      </c>
      <c r="D189" s="1" t="s">
        <v>38</v>
      </c>
      <c r="E189" s="5">
        <v>45531</v>
      </c>
      <c r="F189" s="5">
        <v>45545</v>
      </c>
      <c r="G189" s="2">
        <v>4268.66</v>
      </c>
      <c r="H189" s="3">
        <v>375432</v>
      </c>
      <c r="I189" s="3">
        <v>5151</v>
      </c>
      <c r="J189" s="3">
        <v>171</v>
      </c>
      <c r="K189" s="2">
        <v>12792.51</v>
      </c>
      <c r="L189" s="6">
        <f t="shared" si="10"/>
        <v>1.3720194336124784E-2</v>
      </c>
      <c r="M189" s="6">
        <f t="shared" si="11"/>
        <v>3.3197437390797904E-2</v>
      </c>
      <c r="N189" s="7">
        <f t="shared" si="12"/>
        <v>2.9968444429867924</v>
      </c>
      <c r="O189" s="8">
        <f t="shared" si="13"/>
        <v>0.82870510580469814</v>
      </c>
      <c r="P189" s="8">
        <f t="shared" si="14"/>
        <v>24.962923976608185</v>
      </c>
    </row>
    <row r="190" spans="1:16" x14ac:dyDescent="0.35">
      <c r="A190" s="1">
        <v>5188</v>
      </c>
      <c r="B190" s="1" t="s">
        <v>135</v>
      </c>
      <c r="C190" s="1" t="s">
        <v>41</v>
      </c>
      <c r="D190" s="1" t="s">
        <v>26</v>
      </c>
      <c r="E190" s="5">
        <v>45754</v>
      </c>
      <c r="F190" s="5">
        <v>45766</v>
      </c>
      <c r="G190" s="2">
        <v>79.36</v>
      </c>
      <c r="H190" s="3">
        <v>10977</v>
      </c>
      <c r="I190" s="3">
        <v>405</v>
      </c>
      <c r="J190" s="3">
        <v>10</v>
      </c>
      <c r="K190" s="2">
        <v>318.5</v>
      </c>
      <c r="L190" s="6">
        <f t="shared" si="10"/>
        <v>3.6895326591965018E-2</v>
      </c>
      <c r="M190" s="6">
        <f t="shared" si="11"/>
        <v>2.4691358024691357E-2</v>
      </c>
      <c r="N190" s="7">
        <f t="shared" si="12"/>
        <v>4.01335685483871</v>
      </c>
      <c r="O190" s="8">
        <f t="shared" si="13"/>
        <v>0.19595061728395061</v>
      </c>
      <c r="P190" s="8">
        <f t="shared" si="14"/>
        <v>7.9359999999999999</v>
      </c>
    </row>
    <row r="191" spans="1:16" x14ac:dyDescent="0.35">
      <c r="A191" s="1">
        <v>5189</v>
      </c>
      <c r="B191" s="1" t="s">
        <v>79</v>
      </c>
      <c r="C191" s="1" t="s">
        <v>28</v>
      </c>
      <c r="D191" s="1" t="s">
        <v>18</v>
      </c>
      <c r="E191" s="5">
        <v>45707</v>
      </c>
      <c r="F191" s="5">
        <v>45726</v>
      </c>
      <c r="G191" s="2">
        <v>270.39999999999998</v>
      </c>
      <c r="H191" s="3">
        <v>12969</v>
      </c>
      <c r="I191" s="3">
        <v>412</v>
      </c>
      <c r="J191" s="3">
        <v>28</v>
      </c>
      <c r="K191" s="2">
        <v>2703.4</v>
      </c>
      <c r="L191" s="6">
        <f t="shared" si="10"/>
        <v>3.1768062302413448E-2</v>
      </c>
      <c r="M191" s="6">
        <f t="shared" si="11"/>
        <v>6.7961165048543687E-2</v>
      </c>
      <c r="N191" s="7">
        <f t="shared" si="12"/>
        <v>9.9977810650887591</v>
      </c>
      <c r="O191" s="8">
        <f t="shared" si="13"/>
        <v>0.65631067961165046</v>
      </c>
      <c r="P191" s="8">
        <f t="shared" si="14"/>
        <v>9.6571428571428566</v>
      </c>
    </row>
    <row r="192" spans="1:16" x14ac:dyDescent="0.35">
      <c r="A192" s="1">
        <v>5190</v>
      </c>
      <c r="B192" s="1" t="s">
        <v>120</v>
      </c>
      <c r="C192" s="1" t="s">
        <v>28</v>
      </c>
      <c r="D192" s="1" t="s">
        <v>23</v>
      </c>
      <c r="E192" s="5">
        <v>45612</v>
      </c>
      <c r="F192" s="5">
        <v>45641</v>
      </c>
      <c r="G192" s="2">
        <v>5040.95</v>
      </c>
      <c r="H192" s="3">
        <v>415235</v>
      </c>
      <c r="I192" s="3">
        <v>13017</v>
      </c>
      <c r="J192" s="3">
        <v>1232</v>
      </c>
      <c r="K192" s="2">
        <v>76950.720000000001</v>
      </c>
      <c r="L192" s="6">
        <f t="shared" si="10"/>
        <v>3.1348513492359745E-2</v>
      </c>
      <c r="M192" s="6">
        <f t="shared" si="11"/>
        <v>9.4645463624491055E-2</v>
      </c>
      <c r="N192" s="7">
        <f t="shared" si="12"/>
        <v>15.265122645533085</v>
      </c>
      <c r="O192" s="8">
        <f t="shared" si="13"/>
        <v>0.38725896904048551</v>
      </c>
      <c r="P192" s="8">
        <f t="shared" si="14"/>
        <v>4.0916801948051944</v>
      </c>
    </row>
    <row r="193" spans="1:16" x14ac:dyDescent="0.35">
      <c r="A193" s="1">
        <v>5191</v>
      </c>
      <c r="B193" s="1" t="s">
        <v>123</v>
      </c>
      <c r="C193" s="1" t="s">
        <v>60</v>
      </c>
      <c r="D193" s="1" t="s">
        <v>18</v>
      </c>
      <c r="E193" s="5">
        <v>45639</v>
      </c>
      <c r="F193" s="5">
        <v>45665</v>
      </c>
      <c r="G193" s="2">
        <v>939.13</v>
      </c>
      <c r="H193" s="3">
        <v>71308</v>
      </c>
      <c r="I193" s="3">
        <v>958</v>
      </c>
      <c r="J193" s="3">
        <v>24</v>
      </c>
      <c r="K193" s="2">
        <v>707.28</v>
      </c>
      <c r="L193" s="6">
        <f t="shared" si="10"/>
        <v>1.34346777360184E-2</v>
      </c>
      <c r="M193" s="6">
        <f t="shared" si="11"/>
        <v>2.5052192066805846E-2</v>
      </c>
      <c r="N193" s="7">
        <f t="shared" si="12"/>
        <v>0.75312257089007906</v>
      </c>
      <c r="O193" s="8">
        <f t="shared" si="13"/>
        <v>0.98030271398747393</v>
      </c>
      <c r="P193" s="8">
        <f t="shared" si="14"/>
        <v>39.130416666666669</v>
      </c>
    </row>
    <row r="194" spans="1:16" x14ac:dyDescent="0.35">
      <c r="A194" s="1">
        <v>5192</v>
      </c>
      <c r="B194" s="1" t="s">
        <v>102</v>
      </c>
      <c r="C194" s="1" t="s">
        <v>28</v>
      </c>
      <c r="D194" s="1" t="s">
        <v>38</v>
      </c>
      <c r="E194" s="5">
        <v>45687</v>
      </c>
      <c r="F194" s="5">
        <v>45727</v>
      </c>
      <c r="G194" s="2">
        <v>4520.46</v>
      </c>
      <c r="H194" s="3">
        <v>223343</v>
      </c>
      <c r="I194" s="3">
        <v>12457</v>
      </c>
      <c r="J194" s="3">
        <v>671</v>
      </c>
      <c r="K194" s="2">
        <v>33482.9</v>
      </c>
      <c r="L194" s="6">
        <f t="shared" ref="L194:L257" si="15">IFERROR(I194/H194,0)</f>
        <v>5.5775197789946405E-2</v>
      </c>
      <c r="M194" s="6">
        <f t="shared" ref="M194:M257" si="16">IFERROR(J194/I194,0)</f>
        <v>5.3865296620374085E-2</v>
      </c>
      <c r="N194" s="7">
        <f t="shared" ref="N194:N257" si="17">IFERROR(K194/G194,0)</f>
        <v>7.4069674325179298</v>
      </c>
      <c r="O194" s="8">
        <f t="shared" ref="O194:O257" si="18">IFERROR(G194/I194,0)</f>
        <v>0.36288512482941321</v>
      </c>
      <c r="P194" s="8">
        <f t="shared" ref="P194:P257" si="19">IFERROR(G194/J194,0)</f>
        <v>6.736900149031297</v>
      </c>
    </row>
    <row r="195" spans="1:16" x14ac:dyDescent="0.35">
      <c r="A195" s="1">
        <v>5193</v>
      </c>
      <c r="B195" s="1" t="s">
        <v>61</v>
      </c>
      <c r="C195" s="1" t="s">
        <v>22</v>
      </c>
      <c r="D195" s="1" t="s">
        <v>26</v>
      </c>
      <c r="E195" s="5">
        <v>45565</v>
      </c>
      <c r="F195" s="5">
        <v>45572</v>
      </c>
      <c r="G195" s="2">
        <v>626.1</v>
      </c>
      <c r="H195" s="3">
        <v>414637</v>
      </c>
      <c r="I195" s="3">
        <v>15820</v>
      </c>
      <c r="J195" s="3">
        <v>1393</v>
      </c>
      <c r="K195" s="2">
        <v>138241.32</v>
      </c>
      <c r="L195" s="6">
        <f t="shared" si="15"/>
        <v>3.8153855058762245E-2</v>
      </c>
      <c r="M195" s="6">
        <f t="shared" si="16"/>
        <v>8.8053097345132739E-2</v>
      </c>
      <c r="N195" s="7">
        <f t="shared" si="17"/>
        <v>220.79750838524197</v>
      </c>
      <c r="O195" s="8">
        <f t="shared" si="18"/>
        <v>3.9576485461441213E-2</v>
      </c>
      <c r="P195" s="8">
        <f t="shared" si="19"/>
        <v>0.44946159368269922</v>
      </c>
    </row>
    <row r="196" spans="1:16" x14ac:dyDescent="0.35">
      <c r="A196" s="1">
        <v>5194</v>
      </c>
      <c r="B196" s="1" t="s">
        <v>117</v>
      </c>
      <c r="C196" s="1" t="s">
        <v>22</v>
      </c>
      <c r="D196" s="1" t="s">
        <v>23</v>
      </c>
      <c r="E196" s="5">
        <v>45824</v>
      </c>
      <c r="F196" s="5">
        <v>45831</v>
      </c>
      <c r="G196" s="2">
        <v>250.06</v>
      </c>
      <c r="H196" s="3">
        <v>312577</v>
      </c>
      <c r="I196" s="3">
        <v>13391</v>
      </c>
      <c r="J196" s="3">
        <v>1373</v>
      </c>
      <c r="K196" s="2">
        <v>37098.46</v>
      </c>
      <c r="L196" s="6">
        <f t="shared" si="15"/>
        <v>4.2840644065302309E-2</v>
      </c>
      <c r="M196" s="6">
        <f t="shared" si="16"/>
        <v>0.10253155104174445</v>
      </c>
      <c r="N196" s="7">
        <f t="shared" si="17"/>
        <v>148.35823402383429</v>
      </c>
      <c r="O196" s="8">
        <f t="shared" si="18"/>
        <v>1.8673736091404675E-2</v>
      </c>
      <c r="P196" s="8">
        <f t="shared" si="19"/>
        <v>0.18212672978878369</v>
      </c>
    </row>
    <row r="197" spans="1:16" x14ac:dyDescent="0.35">
      <c r="A197" s="1">
        <v>5195</v>
      </c>
      <c r="B197" s="1" t="s">
        <v>114</v>
      </c>
      <c r="C197" s="1" t="s">
        <v>25</v>
      </c>
      <c r="D197" s="1" t="s">
        <v>23</v>
      </c>
      <c r="E197" s="5">
        <v>45770</v>
      </c>
      <c r="F197" s="5">
        <v>45786</v>
      </c>
      <c r="G197" s="2">
        <v>494.97</v>
      </c>
      <c r="H197" s="3">
        <v>222960</v>
      </c>
      <c r="I197" s="3">
        <v>9913</v>
      </c>
      <c r="J197" s="3">
        <v>346</v>
      </c>
      <c r="K197" s="2">
        <v>18756.66</v>
      </c>
      <c r="L197" s="6">
        <f t="shared" si="15"/>
        <v>4.4460889845712233E-2</v>
      </c>
      <c r="M197" s="6">
        <f t="shared" si="16"/>
        <v>3.4903661858166048E-2</v>
      </c>
      <c r="N197" s="7">
        <f t="shared" si="17"/>
        <v>37.894539062973514</v>
      </c>
      <c r="O197" s="8">
        <f t="shared" si="18"/>
        <v>4.9931403207908807E-2</v>
      </c>
      <c r="P197" s="8">
        <f t="shared" si="19"/>
        <v>1.4305491329479769</v>
      </c>
    </row>
    <row r="198" spans="1:16" x14ac:dyDescent="0.35">
      <c r="A198" s="1">
        <v>5196</v>
      </c>
      <c r="B198" s="1" t="s">
        <v>77</v>
      </c>
      <c r="C198" s="1" t="s">
        <v>22</v>
      </c>
      <c r="D198" s="1" t="s">
        <v>20</v>
      </c>
      <c r="E198" s="5">
        <v>45496</v>
      </c>
      <c r="F198" s="5">
        <v>45520</v>
      </c>
      <c r="G198" s="2">
        <v>278.62</v>
      </c>
      <c r="H198" s="3">
        <v>348274</v>
      </c>
      <c r="I198" s="3">
        <v>20268</v>
      </c>
      <c r="J198" s="3">
        <v>1345</v>
      </c>
      <c r="K198" s="2">
        <v>93168.15</v>
      </c>
      <c r="L198" s="6">
        <f t="shared" si="15"/>
        <v>5.8195558669323577E-2</v>
      </c>
      <c r="M198" s="6">
        <f t="shared" si="16"/>
        <v>6.6360765739096106E-2</v>
      </c>
      <c r="N198" s="7">
        <f t="shared" si="17"/>
        <v>334.39146507788382</v>
      </c>
      <c r="O198" s="8">
        <f t="shared" si="18"/>
        <v>1.3746792974146438E-2</v>
      </c>
      <c r="P198" s="8">
        <f t="shared" si="19"/>
        <v>0.20715241635687734</v>
      </c>
    </row>
    <row r="199" spans="1:16" x14ac:dyDescent="0.35">
      <c r="A199" s="1">
        <v>5197</v>
      </c>
      <c r="B199" s="1" t="s">
        <v>85</v>
      </c>
      <c r="C199" s="1" t="s">
        <v>17</v>
      </c>
      <c r="D199" s="1" t="s">
        <v>20</v>
      </c>
      <c r="E199" s="5">
        <v>45500</v>
      </c>
      <c r="F199" s="5">
        <v>45510</v>
      </c>
      <c r="G199" s="2">
        <v>2052.65</v>
      </c>
      <c r="H199" s="3">
        <v>304096</v>
      </c>
      <c r="I199" s="3">
        <v>8818</v>
      </c>
      <c r="J199" s="3">
        <v>378</v>
      </c>
      <c r="K199" s="2">
        <v>28368.9</v>
      </c>
      <c r="L199" s="6">
        <f t="shared" si="15"/>
        <v>2.8997421866778911E-2</v>
      </c>
      <c r="M199" s="6">
        <f t="shared" si="16"/>
        <v>4.2866863234293492E-2</v>
      </c>
      <c r="N199" s="7">
        <f t="shared" si="17"/>
        <v>13.820622122621977</v>
      </c>
      <c r="O199" s="8">
        <f t="shared" si="18"/>
        <v>0.23277954184622365</v>
      </c>
      <c r="P199" s="8">
        <f t="shared" si="19"/>
        <v>5.4302910052910054</v>
      </c>
    </row>
    <row r="200" spans="1:16" x14ac:dyDescent="0.35">
      <c r="A200" s="1">
        <v>5198</v>
      </c>
      <c r="B200" s="1" t="s">
        <v>88</v>
      </c>
      <c r="C200" s="1" t="s">
        <v>60</v>
      </c>
      <c r="D200" s="1" t="s">
        <v>26</v>
      </c>
      <c r="E200" s="5">
        <v>45459</v>
      </c>
      <c r="F200" s="5">
        <v>45496</v>
      </c>
      <c r="G200" s="2">
        <v>2362.2800000000002</v>
      </c>
      <c r="H200" s="3">
        <v>299023</v>
      </c>
      <c r="I200" s="3">
        <v>2414</v>
      </c>
      <c r="J200" s="3">
        <v>75</v>
      </c>
      <c r="K200" s="2">
        <v>5234.25</v>
      </c>
      <c r="L200" s="6">
        <f t="shared" si="15"/>
        <v>8.072957598579374E-3</v>
      </c>
      <c r="M200" s="6">
        <f t="shared" si="16"/>
        <v>3.1068765534382769E-2</v>
      </c>
      <c r="N200" s="7">
        <f t="shared" si="17"/>
        <v>2.215761891054405</v>
      </c>
      <c r="O200" s="8">
        <f t="shared" si="18"/>
        <v>0.97857497928748971</v>
      </c>
      <c r="P200" s="8">
        <f t="shared" si="19"/>
        <v>31.497066666666669</v>
      </c>
    </row>
    <row r="201" spans="1:16" x14ac:dyDescent="0.35">
      <c r="A201" s="1">
        <v>5199</v>
      </c>
      <c r="B201" s="1" t="s">
        <v>121</v>
      </c>
      <c r="C201" s="1" t="s">
        <v>25</v>
      </c>
      <c r="D201" s="1" t="s">
        <v>20</v>
      </c>
      <c r="E201" s="5">
        <v>45506</v>
      </c>
      <c r="F201" s="5">
        <v>45542</v>
      </c>
      <c r="G201" s="2">
        <v>2504.2399999999998</v>
      </c>
      <c r="H201" s="3">
        <v>385267</v>
      </c>
      <c r="I201" s="3">
        <v>10253</v>
      </c>
      <c r="J201" s="3">
        <v>469</v>
      </c>
      <c r="K201" s="2">
        <v>32745.58</v>
      </c>
      <c r="L201" s="6">
        <f t="shared" si="15"/>
        <v>2.6612712742072379E-2</v>
      </c>
      <c r="M201" s="6">
        <f t="shared" si="16"/>
        <v>4.574270945089242E-2</v>
      </c>
      <c r="N201" s="7">
        <f t="shared" si="17"/>
        <v>13.076055010701852</v>
      </c>
      <c r="O201" s="8">
        <f t="shared" si="18"/>
        <v>0.2442446113332683</v>
      </c>
      <c r="P201" s="8">
        <f t="shared" si="19"/>
        <v>5.3395309168443488</v>
      </c>
    </row>
    <row r="202" spans="1:16" x14ac:dyDescent="0.35">
      <c r="A202" s="1">
        <v>5200</v>
      </c>
      <c r="B202" s="1" t="s">
        <v>69</v>
      </c>
      <c r="C202" s="1" t="s">
        <v>47</v>
      </c>
      <c r="D202" s="1" t="s">
        <v>23</v>
      </c>
      <c r="E202" s="5">
        <v>45759</v>
      </c>
      <c r="F202" s="5">
        <v>45780</v>
      </c>
      <c r="G202" s="2">
        <v>4824.7700000000004</v>
      </c>
      <c r="H202" s="3">
        <v>495865</v>
      </c>
      <c r="I202" s="3">
        <v>7448</v>
      </c>
      <c r="J202" s="3">
        <v>112</v>
      </c>
      <c r="K202" s="2">
        <v>6420.96</v>
      </c>
      <c r="L202" s="6">
        <f t="shared" si="15"/>
        <v>1.5020217196212679E-2</v>
      </c>
      <c r="M202" s="6">
        <f t="shared" si="16"/>
        <v>1.5037593984962405E-2</v>
      </c>
      <c r="N202" s="7">
        <f t="shared" si="17"/>
        <v>1.3308323505576432</v>
      </c>
      <c r="O202" s="8">
        <f t="shared" si="18"/>
        <v>0.64779403866809893</v>
      </c>
      <c r="P202" s="8">
        <f t="shared" si="19"/>
        <v>43.078303571428577</v>
      </c>
    </row>
    <row r="203" spans="1:16" x14ac:dyDescent="0.35">
      <c r="A203" s="1">
        <v>5201</v>
      </c>
      <c r="B203" s="1" t="s">
        <v>107</v>
      </c>
      <c r="C203" s="1" t="s">
        <v>47</v>
      </c>
      <c r="D203" s="1" t="s">
        <v>26</v>
      </c>
      <c r="E203" s="5">
        <v>45815</v>
      </c>
      <c r="F203" s="5">
        <v>45847</v>
      </c>
      <c r="G203" s="2">
        <v>3286.51</v>
      </c>
      <c r="H203" s="3">
        <v>410814</v>
      </c>
      <c r="I203" s="3">
        <v>9540</v>
      </c>
      <c r="J203" s="3">
        <v>154</v>
      </c>
      <c r="K203" s="2">
        <v>5453.14</v>
      </c>
      <c r="L203" s="6">
        <f t="shared" si="15"/>
        <v>2.3222188143539411E-2</v>
      </c>
      <c r="M203" s="6">
        <f t="shared" si="16"/>
        <v>1.6142557651991615E-2</v>
      </c>
      <c r="N203" s="7">
        <f t="shared" si="17"/>
        <v>1.6592494774091666</v>
      </c>
      <c r="O203" s="8">
        <f t="shared" si="18"/>
        <v>0.34449790356394133</v>
      </c>
      <c r="P203" s="8">
        <f t="shared" si="19"/>
        <v>21.340974025974027</v>
      </c>
    </row>
    <row r="204" spans="1:16" x14ac:dyDescent="0.35">
      <c r="A204" s="1">
        <v>5202</v>
      </c>
      <c r="B204" s="1" t="s">
        <v>69</v>
      </c>
      <c r="C204" s="1" t="s">
        <v>47</v>
      </c>
      <c r="D204" s="1" t="s">
        <v>38</v>
      </c>
      <c r="E204" s="5">
        <v>45709</v>
      </c>
      <c r="F204" s="5">
        <v>45747</v>
      </c>
      <c r="G204" s="2">
        <v>986.68</v>
      </c>
      <c r="H204" s="3">
        <v>86627</v>
      </c>
      <c r="I204" s="3">
        <v>1004</v>
      </c>
      <c r="J204" s="3">
        <v>59</v>
      </c>
      <c r="K204" s="2">
        <v>4263.93</v>
      </c>
      <c r="L204" s="6">
        <f t="shared" si="15"/>
        <v>1.1589920001847E-2</v>
      </c>
      <c r="M204" s="6">
        <f t="shared" si="16"/>
        <v>5.8764940239043828E-2</v>
      </c>
      <c r="N204" s="7">
        <f t="shared" si="17"/>
        <v>4.3214922771313908</v>
      </c>
      <c r="O204" s="8">
        <f t="shared" si="18"/>
        <v>0.98274900398406373</v>
      </c>
      <c r="P204" s="8">
        <f t="shared" si="19"/>
        <v>16.723389830508474</v>
      </c>
    </row>
    <row r="205" spans="1:16" x14ac:dyDescent="0.35">
      <c r="A205" s="1">
        <v>5203</v>
      </c>
      <c r="B205" s="1" t="s">
        <v>89</v>
      </c>
      <c r="C205" s="1" t="s">
        <v>25</v>
      </c>
      <c r="D205" s="1" t="s">
        <v>18</v>
      </c>
      <c r="E205" s="5">
        <v>45744</v>
      </c>
      <c r="F205" s="5">
        <v>45779</v>
      </c>
      <c r="G205" s="2">
        <v>713.87</v>
      </c>
      <c r="H205" s="3">
        <v>177579</v>
      </c>
      <c r="I205" s="3">
        <v>2950</v>
      </c>
      <c r="J205" s="3">
        <v>88</v>
      </c>
      <c r="K205" s="2">
        <v>4281.2</v>
      </c>
      <c r="L205" s="6">
        <f t="shared" si="15"/>
        <v>1.6612324655505436E-2</v>
      </c>
      <c r="M205" s="6">
        <f t="shared" si="16"/>
        <v>2.9830508474576273E-2</v>
      </c>
      <c r="N205" s="7">
        <f t="shared" si="17"/>
        <v>5.9971703531455303</v>
      </c>
      <c r="O205" s="8">
        <f t="shared" si="18"/>
        <v>0.24198983050847458</v>
      </c>
      <c r="P205" s="8">
        <f t="shared" si="19"/>
        <v>8.1121590909090902</v>
      </c>
    </row>
    <row r="206" spans="1:16" x14ac:dyDescent="0.35">
      <c r="A206" s="1">
        <v>5204</v>
      </c>
      <c r="B206" s="1" t="s">
        <v>40</v>
      </c>
      <c r="C206" s="1" t="s">
        <v>41</v>
      </c>
      <c r="D206" s="1" t="s">
        <v>18</v>
      </c>
      <c r="E206" s="5">
        <v>45591</v>
      </c>
      <c r="F206" s="5">
        <v>45615</v>
      </c>
      <c r="G206" s="2">
        <v>640.83000000000004</v>
      </c>
      <c r="H206" s="3">
        <v>89878</v>
      </c>
      <c r="I206" s="3">
        <v>3027</v>
      </c>
      <c r="J206" s="3">
        <v>49</v>
      </c>
      <c r="K206" s="2">
        <v>2254</v>
      </c>
      <c r="L206" s="6">
        <f t="shared" si="15"/>
        <v>3.3678987071363402E-2</v>
      </c>
      <c r="M206" s="6">
        <f t="shared" si="16"/>
        <v>1.6187644532540468E-2</v>
      </c>
      <c r="N206" s="7">
        <f t="shared" si="17"/>
        <v>3.5173134840753395</v>
      </c>
      <c r="O206" s="8">
        <f t="shared" si="18"/>
        <v>0.21170465807730426</v>
      </c>
      <c r="P206" s="8">
        <f t="shared" si="19"/>
        <v>13.078163265306124</v>
      </c>
    </row>
    <row r="207" spans="1:16" x14ac:dyDescent="0.35">
      <c r="A207" s="1">
        <v>5205</v>
      </c>
      <c r="B207" s="1" t="s">
        <v>97</v>
      </c>
      <c r="C207" s="1" t="s">
        <v>37</v>
      </c>
      <c r="D207" s="1" t="s">
        <v>26</v>
      </c>
      <c r="E207" s="5">
        <v>45768</v>
      </c>
      <c r="F207" s="5">
        <v>45804</v>
      </c>
      <c r="G207" s="2">
        <v>7018.48</v>
      </c>
      <c r="H207" s="3">
        <v>453977</v>
      </c>
      <c r="I207" s="3">
        <v>4860</v>
      </c>
      <c r="J207" s="3">
        <v>124</v>
      </c>
      <c r="K207" s="2">
        <v>27691.68</v>
      </c>
      <c r="L207" s="6">
        <f t="shared" si="15"/>
        <v>1.0705388158430933E-2</v>
      </c>
      <c r="M207" s="6">
        <f t="shared" si="16"/>
        <v>2.5514403292181069E-2</v>
      </c>
      <c r="N207" s="7">
        <f t="shared" si="17"/>
        <v>3.9455380652220997</v>
      </c>
      <c r="O207" s="8">
        <f t="shared" si="18"/>
        <v>1.4441316872427983</v>
      </c>
      <c r="P207" s="8">
        <f t="shared" si="19"/>
        <v>56.600645161290316</v>
      </c>
    </row>
    <row r="208" spans="1:16" x14ac:dyDescent="0.35">
      <c r="A208" s="1">
        <v>5206</v>
      </c>
      <c r="B208" s="1" t="s">
        <v>135</v>
      </c>
      <c r="C208" s="1" t="s">
        <v>41</v>
      </c>
      <c r="D208" s="1" t="s">
        <v>20</v>
      </c>
      <c r="E208" s="5">
        <v>45541</v>
      </c>
      <c r="F208" s="5">
        <v>45563</v>
      </c>
      <c r="G208" s="2">
        <v>2559.9</v>
      </c>
      <c r="H208" s="3">
        <v>329460</v>
      </c>
      <c r="I208" s="3">
        <v>4261</v>
      </c>
      <c r="J208" s="3">
        <v>127</v>
      </c>
      <c r="K208" s="2">
        <v>3755.39</v>
      </c>
      <c r="L208" s="6">
        <f t="shared" si="15"/>
        <v>1.2933284769015965E-2</v>
      </c>
      <c r="M208" s="6">
        <f t="shared" si="16"/>
        <v>2.9805210044590472E-2</v>
      </c>
      <c r="N208" s="7">
        <f t="shared" si="17"/>
        <v>1.4670065236923315</v>
      </c>
      <c r="O208" s="8">
        <f t="shared" si="18"/>
        <v>0.60077446608777285</v>
      </c>
      <c r="P208" s="8">
        <f t="shared" si="19"/>
        <v>20.156692913385829</v>
      </c>
    </row>
    <row r="209" spans="1:16" x14ac:dyDescent="0.35">
      <c r="A209" s="1">
        <v>5207</v>
      </c>
      <c r="B209" s="1" t="s">
        <v>86</v>
      </c>
      <c r="C209" s="1" t="s">
        <v>47</v>
      </c>
      <c r="D209" s="1" t="s">
        <v>38</v>
      </c>
      <c r="E209" s="5">
        <v>45652</v>
      </c>
      <c r="F209" s="5">
        <v>45686</v>
      </c>
      <c r="G209" s="2">
        <v>2129.17</v>
      </c>
      <c r="H209" s="3">
        <v>309472</v>
      </c>
      <c r="I209" s="3">
        <v>5624</v>
      </c>
      <c r="J209" s="3">
        <v>120</v>
      </c>
      <c r="K209" s="2">
        <v>7258.8</v>
      </c>
      <c r="L209" s="6">
        <f t="shared" si="15"/>
        <v>1.8172888015717092E-2</v>
      </c>
      <c r="M209" s="6">
        <f t="shared" si="16"/>
        <v>2.1337126600284494E-2</v>
      </c>
      <c r="N209" s="7">
        <f t="shared" si="17"/>
        <v>3.4092157977052091</v>
      </c>
      <c r="O209" s="8">
        <f t="shared" si="18"/>
        <v>0.37858641536273119</v>
      </c>
      <c r="P209" s="8">
        <f t="shared" si="19"/>
        <v>17.743083333333335</v>
      </c>
    </row>
    <row r="210" spans="1:16" x14ac:dyDescent="0.35">
      <c r="A210" s="1">
        <v>5208</v>
      </c>
      <c r="B210" s="1" t="s">
        <v>29</v>
      </c>
      <c r="C210" s="1" t="s">
        <v>25</v>
      </c>
      <c r="D210" s="1" t="s">
        <v>26</v>
      </c>
      <c r="E210" s="5">
        <v>45537</v>
      </c>
      <c r="F210" s="5">
        <v>45575</v>
      </c>
      <c r="G210" s="2">
        <v>679.86</v>
      </c>
      <c r="H210" s="3">
        <v>284460</v>
      </c>
      <c r="I210" s="3">
        <v>14121</v>
      </c>
      <c r="J210" s="3">
        <v>454</v>
      </c>
      <c r="K210" s="2">
        <v>18495.96</v>
      </c>
      <c r="L210" s="6">
        <f t="shared" si="15"/>
        <v>4.964142585952331E-2</v>
      </c>
      <c r="M210" s="6">
        <f t="shared" si="16"/>
        <v>3.2150697542666952E-2</v>
      </c>
      <c r="N210" s="7">
        <f t="shared" si="17"/>
        <v>27.205542317535961</v>
      </c>
      <c r="O210" s="8">
        <f t="shared" si="18"/>
        <v>4.8145315487571699E-2</v>
      </c>
      <c r="P210" s="8">
        <f t="shared" si="19"/>
        <v>1.497488986784141</v>
      </c>
    </row>
    <row r="211" spans="1:16" x14ac:dyDescent="0.35">
      <c r="A211" s="1">
        <v>5209</v>
      </c>
      <c r="B211" s="1" t="s">
        <v>91</v>
      </c>
      <c r="C211" s="1" t="s">
        <v>37</v>
      </c>
      <c r="D211" s="1" t="s">
        <v>20</v>
      </c>
      <c r="E211" s="5">
        <v>45770</v>
      </c>
      <c r="F211" s="5">
        <v>45777</v>
      </c>
      <c r="G211" s="2">
        <v>9716.7199999999993</v>
      </c>
      <c r="H211" s="3">
        <v>402849</v>
      </c>
      <c r="I211" s="3">
        <v>4948</v>
      </c>
      <c r="J211" s="3">
        <v>191</v>
      </c>
      <c r="K211" s="2">
        <v>45282.28</v>
      </c>
      <c r="L211" s="6">
        <f t="shared" si="15"/>
        <v>1.2282517767203096E-2</v>
      </c>
      <c r="M211" s="6">
        <f t="shared" si="16"/>
        <v>3.8601455133387225E-2</v>
      </c>
      <c r="N211" s="7">
        <f t="shared" si="17"/>
        <v>4.6602433743073792</v>
      </c>
      <c r="O211" s="8">
        <f t="shared" si="18"/>
        <v>1.9637671786580435</v>
      </c>
      <c r="P211" s="8">
        <f t="shared" si="19"/>
        <v>50.872879581151828</v>
      </c>
    </row>
    <row r="212" spans="1:16" x14ac:dyDescent="0.35">
      <c r="A212" s="1">
        <v>5210</v>
      </c>
      <c r="B212" s="1" t="s">
        <v>84</v>
      </c>
      <c r="C212" s="1" t="s">
        <v>22</v>
      </c>
      <c r="D212" s="1" t="s">
        <v>20</v>
      </c>
      <c r="E212" s="5">
        <v>45494</v>
      </c>
      <c r="F212" s="5">
        <v>45501</v>
      </c>
      <c r="G212" s="2">
        <v>299.87</v>
      </c>
      <c r="H212" s="3">
        <v>267738</v>
      </c>
      <c r="I212" s="3">
        <v>9359</v>
      </c>
      <c r="J212" s="3">
        <v>1065</v>
      </c>
      <c r="K212" s="2">
        <v>77180.55</v>
      </c>
      <c r="L212" s="6">
        <f t="shared" si="15"/>
        <v>3.4955815013184531E-2</v>
      </c>
      <c r="M212" s="6">
        <f t="shared" si="16"/>
        <v>0.11379420878298964</v>
      </c>
      <c r="N212" s="7">
        <f t="shared" si="17"/>
        <v>257.38003134691701</v>
      </c>
      <c r="O212" s="8">
        <f t="shared" si="18"/>
        <v>3.2040816326530615E-2</v>
      </c>
      <c r="P212" s="8">
        <f t="shared" si="19"/>
        <v>0.28156807511737092</v>
      </c>
    </row>
    <row r="213" spans="1:16" x14ac:dyDescent="0.35">
      <c r="A213" s="1">
        <v>5211</v>
      </c>
      <c r="B213" s="1" t="s">
        <v>65</v>
      </c>
      <c r="C213" s="1" t="s">
        <v>17</v>
      </c>
      <c r="D213" s="1" t="s">
        <v>23</v>
      </c>
      <c r="E213" s="5">
        <v>45808</v>
      </c>
      <c r="F213" s="5">
        <v>45849</v>
      </c>
      <c r="G213" s="2">
        <v>694.19</v>
      </c>
      <c r="H213" s="3">
        <v>64696</v>
      </c>
      <c r="I213" s="3">
        <v>1155</v>
      </c>
      <c r="J213" s="3">
        <v>36</v>
      </c>
      <c r="K213" s="2">
        <v>2324.16</v>
      </c>
      <c r="L213" s="6">
        <f t="shared" si="15"/>
        <v>1.7852726598244096E-2</v>
      </c>
      <c r="M213" s="6">
        <f t="shared" si="16"/>
        <v>3.1168831168831169E-2</v>
      </c>
      <c r="N213" s="7">
        <f t="shared" si="17"/>
        <v>3.3480171134703749</v>
      </c>
      <c r="O213" s="8">
        <f t="shared" si="18"/>
        <v>0.60103030303030303</v>
      </c>
      <c r="P213" s="8">
        <f t="shared" si="19"/>
        <v>19.283055555555556</v>
      </c>
    </row>
    <row r="214" spans="1:16" x14ac:dyDescent="0.35">
      <c r="A214" s="1">
        <v>5212</v>
      </c>
      <c r="B214" s="1" t="s">
        <v>19</v>
      </c>
      <c r="C214" s="1" t="s">
        <v>17</v>
      </c>
      <c r="D214" s="1" t="s">
        <v>38</v>
      </c>
      <c r="E214" s="5">
        <v>45503</v>
      </c>
      <c r="F214" s="5">
        <v>45529</v>
      </c>
      <c r="G214" s="2">
        <v>561.65</v>
      </c>
      <c r="H214" s="3">
        <v>46037</v>
      </c>
      <c r="I214" s="3">
        <v>833</v>
      </c>
      <c r="J214" s="3">
        <v>16</v>
      </c>
      <c r="K214" s="2">
        <v>488.32</v>
      </c>
      <c r="L214" s="6">
        <f t="shared" si="15"/>
        <v>1.8094141668657818E-2</v>
      </c>
      <c r="M214" s="6">
        <f t="shared" si="16"/>
        <v>1.920768307322929E-2</v>
      </c>
      <c r="N214" s="7">
        <f t="shared" si="17"/>
        <v>0.86943826226297516</v>
      </c>
      <c r="O214" s="8">
        <f t="shared" si="18"/>
        <v>0.67424969987995198</v>
      </c>
      <c r="P214" s="8">
        <f t="shared" si="19"/>
        <v>35.103124999999999</v>
      </c>
    </row>
    <row r="215" spans="1:16" x14ac:dyDescent="0.35">
      <c r="A215" s="1">
        <v>5213</v>
      </c>
      <c r="B215" s="1" t="s">
        <v>62</v>
      </c>
      <c r="C215" s="1" t="s">
        <v>25</v>
      </c>
      <c r="D215" s="1" t="s">
        <v>38</v>
      </c>
      <c r="E215" s="5">
        <v>45591</v>
      </c>
      <c r="F215" s="5">
        <v>45619</v>
      </c>
      <c r="G215" s="2">
        <v>1981.04</v>
      </c>
      <c r="H215" s="3">
        <v>348774</v>
      </c>
      <c r="I215" s="3">
        <v>9154</v>
      </c>
      <c r="J215" s="3">
        <v>216</v>
      </c>
      <c r="K215" s="2">
        <v>5812.56</v>
      </c>
      <c r="L215" s="6">
        <f t="shared" si="15"/>
        <v>2.6246222482180438E-2</v>
      </c>
      <c r="M215" s="6">
        <f t="shared" si="16"/>
        <v>2.3596242079965041E-2</v>
      </c>
      <c r="N215" s="7">
        <f t="shared" si="17"/>
        <v>2.9340952227113033</v>
      </c>
      <c r="O215" s="8">
        <f t="shared" si="18"/>
        <v>0.21641249726895345</v>
      </c>
      <c r="P215" s="8">
        <f t="shared" si="19"/>
        <v>9.1714814814814805</v>
      </c>
    </row>
    <row r="216" spans="1:16" x14ac:dyDescent="0.35">
      <c r="A216" s="1">
        <v>5214</v>
      </c>
      <c r="B216" s="1" t="s">
        <v>30</v>
      </c>
      <c r="C216" s="1" t="s">
        <v>25</v>
      </c>
      <c r="D216" s="1" t="s">
        <v>20</v>
      </c>
      <c r="E216" s="5">
        <v>45559</v>
      </c>
      <c r="F216" s="5">
        <v>45570</v>
      </c>
      <c r="G216" s="2">
        <v>975.8</v>
      </c>
      <c r="H216" s="3">
        <v>336482</v>
      </c>
      <c r="I216" s="3">
        <v>10358</v>
      </c>
      <c r="J216" s="3">
        <v>434</v>
      </c>
      <c r="K216" s="2">
        <v>23301.46</v>
      </c>
      <c r="L216" s="6">
        <f t="shared" si="15"/>
        <v>3.078322168793576E-2</v>
      </c>
      <c r="M216" s="6">
        <f t="shared" si="16"/>
        <v>4.1899980691253134E-2</v>
      </c>
      <c r="N216" s="7">
        <f t="shared" si="17"/>
        <v>23.879340028694404</v>
      </c>
      <c r="O216" s="8">
        <f t="shared" si="18"/>
        <v>9.4207375941301408E-2</v>
      </c>
      <c r="P216" s="8">
        <f t="shared" si="19"/>
        <v>2.2483870967741932</v>
      </c>
    </row>
    <row r="217" spans="1:16" x14ac:dyDescent="0.35">
      <c r="A217" s="1">
        <v>5215</v>
      </c>
      <c r="B217" s="1" t="s">
        <v>30</v>
      </c>
      <c r="C217" s="1" t="s">
        <v>25</v>
      </c>
      <c r="D217" s="1" t="s">
        <v>26</v>
      </c>
      <c r="E217" s="5">
        <v>45487</v>
      </c>
      <c r="F217" s="5">
        <v>45515</v>
      </c>
      <c r="G217" s="2">
        <v>2031.95</v>
      </c>
      <c r="H217" s="3">
        <v>334202</v>
      </c>
      <c r="I217" s="3">
        <v>13104</v>
      </c>
      <c r="J217" s="3">
        <v>845</v>
      </c>
      <c r="K217" s="2">
        <v>29110.25</v>
      </c>
      <c r="L217" s="6">
        <f t="shared" si="15"/>
        <v>3.9209819211135782E-2</v>
      </c>
      <c r="M217" s="6">
        <f t="shared" si="16"/>
        <v>6.4484126984126991E-2</v>
      </c>
      <c r="N217" s="7">
        <f t="shared" si="17"/>
        <v>14.326262949383597</v>
      </c>
      <c r="O217" s="8">
        <f t="shared" si="18"/>
        <v>0.15506333943833944</v>
      </c>
      <c r="P217" s="8">
        <f t="shared" si="19"/>
        <v>2.4046745562130178</v>
      </c>
    </row>
    <row r="218" spans="1:16" x14ac:dyDescent="0.35">
      <c r="A218" s="1">
        <v>5216</v>
      </c>
      <c r="B218" s="1" t="s">
        <v>75</v>
      </c>
      <c r="C218" s="1" t="s">
        <v>22</v>
      </c>
      <c r="D218" s="1" t="s">
        <v>20</v>
      </c>
      <c r="E218" s="5">
        <v>45676</v>
      </c>
      <c r="F218" s="5">
        <v>45719</v>
      </c>
      <c r="G218" s="2">
        <v>655.24</v>
      </c>
      <c r="H218" s="3">
        <v>474815</v>
      </c>
      <c r="I218" s="3">
        <v>28479</v>
      </c>
      <c r="J218" s="3">
        <v>3260</v>
      </c>
      <c r="K218" s="2">
        <v>148851.6</v>
      </c>
      <c r="L218" s="6">
        <f t="shared" si="15"/>
        <v>5.9979149774122553E-2</v>
      </c>
      <c r="M218" s="6">
        <f t="shared" si="16"/>
        <v>0.11447031145756523</v>
      </c>
      <c r="N218" s="7">
        <f t="shared" si="17"/>
        <v>227.17111287467188</v>
      </c>
      <c r="O218" s="8">
        <f t="shared" si="18"/>
        <v>2.3007830331121179E-2</v>
      </c>
      <c r="P218" s="8">
        <f t="shared" si="19"/>
        <v>0.20099386503067485</v>
      </c>
    </row>
    <row r="219" spans="1:16" x14ac:dyDescent="0.35">
      <c r="A219" s="1">
        <v>5217</v>
      </c>
      <c r="B219" s="1" t="s">
        <v>81</v>
      </c>
      <c r="C219" s="1" t="s">
        <v>28</v>
      </c>
      <c r="D219" s="1" t="s">
        <v>38</v>
      </c>
      <c r="E219" s="5">
        <v>45633</v>
      </c>
      <c r="F219" s="5">
        <v>45658</v>
      </c>
      <c r="G219" s="2">
        <v>8688.2999999999993</v>
      </c>
      <c r="H219" s="3">
        <v>375954</v>
      </c>
      <c r="I219" s="3">
        <v>24725</v>
      </c>
      <c r="J219" s="3">
        <v>1308</v>
      </c>
      <c r="K219" s="2">
        <v>121892.52</v>
      </c>
      <c r="L219" s="6">
        <f t="shared" si="15"/>
        <v>6.5766024566835307E-2</v>
      </c>
      <c r="M219" s="6">
        <f t="shared" si="16"/>
        <v>5.2901921132457029E-2</v>
      </c>
      <c r="N219" s="7">
        <f t="shared" si="17"/>
        <v>14.029501743724321</v>
      </c>
      <c r="O219" s="8">
        <f t="shared" si="18"/>
        <v>0.35139737108190089</v>
      </c>
      <c r="P219" s="8">
        <f t="shared" si="19"/>
        <v>6.6424311926605499</v>
      </c>
    </row>
    <row r="220" spans="1:16" x14ac:dyDescent="0.35">
      <c r="A220" s="1">
        <v>5218</v>
      </c>
      <c r="B220" s="1" t="s">
        <v>124</v>
      </c>
      <c r="C220" s="1" t="s">
        <v>28</v>
      </c>
      <c r="D220" s="1" t="s">
        <v>38</v>
      </c>
      <c r="E220" s="5">
        <v>45481</v>
      </c>
      <c r="F220" s="5">
        <v>45488</v>
      </c>
      <c r="G220" s="2">
        <v>2234.36</v>
      </c>
      <c r="H220" s="3">
        <v>253042</v>
      </c>
      <c r="I220" s="3">
        <v>9489</v>
      </c>
      <c r="J220" s="3">
        <v>424</v>
      </c>
      <c r="K220" s="2">
        <v>33457.839999999997</v>
      </c>
      <c r="L220" s="6">
        <f t="shared" si="15"/>
        <v>3.7499703606515916E-2</v>
      </c>
      <c r="M220" s="6">
        <f t="shared" si="16"/>
        <v>4.4683317525555905E-2</v>
      </c>
      <c r="N220" s="7">
        <f t="shared" si="17"/>
        <v>14.974238708175941</v>
      </c>
      <c r="O220" s="8">
        <f t="shared" si="18"/>
        <v>0.23546843713773843</v>
      </c>
      <c r="P220" s="8">
        <f t="shared" si="19"/>
        <v>5.2697169811320759</v>
      </c>
    </row>
    <row r="221" spans="1:16" x14ac:dyDescent="0.35">
      <c r="A221" s="1">
        <v>5219</v>
      </c>
      <c r="B221" s="1" t="s">
        <v>87</v>
      </c>
      <c r="C221" s="1" t="s">
        <v>47</v>
      </c>
      <c r="D221" s="1" t="s">
        <v>20</v>
      </c>
      <c r="E221" s="5">
        <v>45749</v>
      </c>
      <c r="F221" s="5">
        <v>45790</v>
      </c>
      <c r="G221" s="2">
        <v>864.5</v>
      </c>
      <c r="H221" s="3">
        <v>128646</v>
      </c>
      <c r="I221" s="3">
        <v>1822</v>
      </c>
      <c r="J221" s="3">
        <v>96</v>
      </c>
      <c r="K221" s="2">
        <v>7406.4</v>
      </c>
      <c r="L221" s="6">
        <f t="shared" si="15"/>
        <v>1.4162896631065094E-2</v>
      </c>
      <c r="M221" s="6">
        <f t="shared" si="16"/>
        <v>5.2689352360043906E-2</v>
      </c>
      <c r="N221" s="7">
        <f t="shared" si="17"/>
        <v>8.5672643146327356</v>
      </c>
      <c r="O221" s="8">
        <f t="shared" si="18"/>
        <v>0.47447859495060374</v>
      </c>
      <c r="P221" s="8">
        <f t="shared" si="19"/>
        <v>9.0052083333333339</v>
      </c>
    </row>
    <row r="222" spans="1:16" x14ac:dyDescent="0.35">
      <c r="A222" s="1">
        <v>5220</v>
      </c>
      <c r="B222" s="1" t="s">
        <v>115</v>
      </c>
      <c r="C222" s="1" t="s">
        <v>47</v>
      </c>
      <c r="D222" s="1" t="s">
        <v>23</v>
      </c>
      <c r="E222" s="5">
        <v>45606</v>
      </c>
      <c r="F222" s="5">
        <v>45623</v>
      </c>
      <c r="G222" s="2">
        <v>1822.92</v>
      </c>
      <c r="H222" s="3">
        <v>349889</v>
      </c>
      <c r="I222" s="3">
        <v>4013</v>
      </c>
      <c r="J222" s="3">
        <v>224</v>
      </c>
      <c r="K222" s="2">
        <v>18583.04</v>
      </c>
      <c r="L222" s="6">
        <f t="shared" si="15"/>
        <v>1.1469351708684754E-2</v>
      </c>
      <c r="M222" s="6">
        <f t="shared" si="16"/>
        <v>5.5818589583852482E-2</v>
      </c>
      <c r="N222" s="7">
        <f t="shared" si="17"/>
        <v>10.194106159348737</v>
      </c>
      <c r="O222" s="8">
        <f t="shared" si="18"/>
        <v>0.45425367555444807</v>
      </c>
      <c r="P222" s="8">
        <f t="shared" si="19"/>
        <v>8.1380357142857154</v>
      </c>
    </row>
    <row r="223" spans="1:16" x14ac:dyDescent="0.35">
      <c r="A223" s="1">
        <v>5221</v>
      </c>
      <c r="B223" s="1" t="s">
        <v>135</v>
      </c>
      <c r="C223" s="1" t="s">
        <v>41</v>
      </c>
      <c r="D223" s="1" t="s">
        <v>38</v>
      </c>
      <c r="E223" s="5">
        <v>45584</v>
      </c>
      <c r="F223" s="5">
        <v>45597</v>
      </c>
      <c r="G223" s="2">
        <v>1647.01</v>
      </c>
      <c r="H223" s="3">
        <v>280104</v>
      </c>
      <c r="I223" s="3">
        <v>3692</v>
      </c>
      <c r="J223" s="3">
        <v>99</v>
      </c>
      <c r="K223" s="2">
        <v>5571.72</v>
      </c>
      <c r="L223" s="6">
        <f t="shared" si="15"/>
        <v>1.3180818553108846E-2</v>
      </c>
      <c r="M223" s="6">
        <f t="shared" si="16"/>
        <v>2.6814734561213433E-2</v>
      </c>
      <c r="N223" s="7">
        <f t="shared" si="17"/>
        <v>3.3829302797190062</v>
      </c>
      <c r="O223" s="8">
        <f t="shared" si="18"/>
        <v>0.44610238353196102</v>
      </c>
      <c r="P223" s="8">
        <f t="shared" si="19"/>
        <v>16.636464646464646</v>
      </c>
    </row>
    <row r="224" spans="1:16" x14ac:dyDescent="0.35">
      <c r="A224" s="1">
        <v>5222</v>
      </c>
      <c r="B224" s="1" t="s">
        <v>93</v>
      </c>
      <c r="C224" s="1" t="s">
        <v>25</v>
      </c>
      <c r="D224" s="1" t="s">
        <v>23</v>
      </c>
      <c r="E224" s="5">
        <v>45481</v>
      </c>
      <c r="F224" s="5">
        <v>45505</v>
      </c>
      <c r="G224" s="2">
        <v>1065.24</v>
      </c>
      <c r="H224" s="3">
        <v>141278</v>
      </c>
      <c r="I224" s="3">
        <v>5994</v>
      </c>
      <c r="J224" s="3">
        <v>289</v>
      </c>
      <c r="K224" s="2">
        <v>26466.62</v>
      </c>
      <c r="L224" s="6">
        <f t="shared" si="15"/>
        <v>4.2426987924517615E-2</v>
      </c>
      <c r="M224" s="6">
        <f t="shared" si="16"/>
        <v>4.8214881548214884E-2</v>
      </c>
      <c r="N224" s="7">
        <f t="shared" si="17"/>
        <v>24.845687356839772</v>
      </c>
      <c r="O224" s="8">
        <f t="shared" si="18"/>
        <v>0.17771771771771772</v>
      </c>
      <c r="P224" s="8">
        <f t="shared" si="19"/>
        <v>3.6859515570934258</v>
      </c>
    </row>
    <row r="225" spans="1:16" x14ac:dyDescent="0.35">
      <c r="A225" s="1">
        <v>5223</v>
      </c>
      <c r="B225" s="1" t="s">
        <v>122</v>
      </c>
      <c r="C225" s="1" t="s">
        <v>28</v>
      </c>
      <c r="D225" s="1" t="s">
        <v>18</v>
      </c>
      <c r="E225" s="5">
        <v>45732</v>
      </c>
      <c r="F225" s="5">
        <v>45755</v>
      </c>
      <c r="G225" s="2">
        <v>3016.07</v>
      </c>
      <c r="H225" s="3">
        <v>138606</v>
      </c>
      <c r="I225" s="3">
        <v>8656</v>
      </c>
      <c r="J225" s="3">
        <v>837</v>
      </c>
      <c r="K225" s="2">
        <v>98565.119999999995</v>
      </c>
      <c r="L225" s="6">
        <f t="shared" si="15"/>
        <v>6.2450398972627448E-2</v>
      </c>
      <c r="M225" s="6">
        <f t="shared" si="16"/>
        <v>9.6695933456561925E-2</v>
      </c>
      <c r="N225" s="7">
        <f t="shared" si="17"/>
        <v>32.679984217872921</v>
      </c>
      <c r="O225" s="8">
        <f t="shared" si="18"/>
        <v>0.34843692236598894</v>
      </c>
      <c r="P225" s="8">
        <f t="shared" si="19"/>
        <v>3.6034289127837518</v>
      </c>
    </row>
    <row r="226" spans="1:16" x14ac:dyDescent="0.35">
      <c r="A226" s="1">
        <v>5224</v>
      </c>
      <c r="B226" s="1" t="s">
        <v>101</v>
      </c>
      <c r="C226" s="1" t="s">
        <v>60</v>
      </c>
      <c r="D226" s="1" t="s">
        <v>38</v>
      </c>
      <c r="E226" s="5">
        <v>45462</v>
      </c>
      <c r="F226" s="5">
        <v>45499</v>
      </c>
      <c r="G226" s="2">
        <v>1011.73</v>
      </c>
      <c r="H226" s="3">
        <v>58179</v>
      </c>
      <c r="I226" s="3">
        <v>789</v>
      </c>
      <c r="J226" s="3">
        <v>21</v>
      </c>
      <c r="K226" s="2">
        <v>1861.23</v>
      </c>
      <c r="L226" s="6">
        <f t="shared" si="15"/>
        <v>1.3561594389728253E-2</v>
      </c>
      <c r="M226" s="6">
        <f t="shared" si="16"/>
        <v>2.6615969581749048E-2</v>
      </c>
      <c r="N226" s="7">
        <f t="shared" si="17"/>
        <v>1.8396508950016308</v>
      </c>
      <c r="O226" s="8">
        <f t="shared" si="18"/>
        <v>1.2822940430925223</v>
      </c>
      <c r="P226" s="8">
        <f t="shared" si="19"/>
        <v>48.177619047619046</v>
      </c>
    </row>
    <row r="227" spans="1:16" x14ac:dyDescent="0.35">
      <c r="A227" s="1">
        <v>5225</v>
      </c>
      <c r="B227" s="1" t="s">
        <v>111</v>
      </c>
      <c r="C227" s="1" t="s">
        <v>25</v>
      </c>
      <c r="D227" s="1" t="s">
        <v>26</v>
      </c>
      <c r="E227" s="5">
        <v>45563</v>
      </c>
      <c r="F227" s="5">
        <v>45607</v>
      </c>
      <c r="G227" s="2">
        <v>1082.5899999999999</v>
      </c>
      <c r="H227" s="3">
        <v>366980</v>
      </c>
      <c r="I227" s="3">
        <v>17927</v>
      </c>
      <c r="J227" s="3">
        <v>1196</v>
      </c>
      <c r="K227" s="2">
        <v>114038.6</v>
      </c>
      <c r="L227" s="6">
        <f t="shared" si="15"/>
        <v>4.8850073573491741E-2</v>
      </c>
      <c r="M227" s="6">
        <f t="shared" si="16"/>
        <v>6.6715010877447425E-2</v>
      </c>
      <c r="N227" s="7">
        <f t="shared" si="17"/>
        <v>105.3386785394286</v>
      </c>
      <c r="O227" s="8">
        <f t="shared" si="18"/>
        <v>6.0388799018240638E-2</v>
      </c>
      <c r="P227" s="8">
        <f t="shared" si="19"/>
        <v>0.90517558528428088</v>
      </c>
    </row>
    <row r="228" spans="1:16" x14ac:dyDescent="0.35">
      <c r="A228" s="1">
        <v>5226</v>
      </c>
      <c r="B228" s="1" t="s">
        <v>70</v>
      </c>
      <c r="C228" s="1" t="s">
        <v>41</v>
      </c>
      <c r="D228" s="1" t="s">
        <v>18</v>
      </c>
      <c r="E228" s="5">
        <v>45633</v>
      </c>
      <c r="F228" s="5">
        <v>45653</v>
      </c>
      <c r="G228" s="2">
        <v>2914.83</v>
      </c>
      <c r="H228" s="3">
        <v>465627</v>
      </c>
      <c r="I228" s="3">
        <v>13033</v>
      </c>
      <c r="J228" s="3">
        <v>121</v>
      </c>
      <c r="K228" s="2">
        <v>5781.38</v>
      </c>
      <c r="L228" s="6">
        <f t="shared" si="15"/>
        <v>2.7990215344041475E-2</v>
      </c>
      <c r="M228" s="6">
        <f t="shared" si="16"/>
        <v>9.2841249136806567E-3</v>
      </c>
      <c r="N228" s="7">
        <f t="shared" si="17"/>
        <v>1.983436426824206</v>
      </c>
      <c r="O228" s="8">
        <f t="shared" si="18"/>
        <v>0.22364996547226271</v>
      </c>
      <c r="P228" s="8">
        <f t="shared" si="19"/>
        <v>24.089504132231404</v>
      </c>
    </row>
    <row r="229" spans="1:16" x14ac:dyDescent="0.35">
      <c r="A229" s="1">
        <v>5227</v>
      </c>
      <c r="B229" s="1" t="s">
        <v>85</v>
      </c>
      <c r="C229" s="1" t="s">
        <v>17</v>
      </c>
      <c r="D229" s="1" t="s">
        <v>20</v>
      </c>
      <c r="E229" s="5">
        <v>45648</v>
      </c>
      <c r="F229" s="5">
        <v>45658</v>
      </c>
      <c r="G229" s="2">
        <v>1829.78</v>
      </c>
      <c r="H229" s="3">
        <v>309084</v>
      </c>
      <c r="I229" s="3">
        <v>2590</v>
      </c>
      <c r="J229" s="3">
        <v>40</v>
      </c>
      <c r="K229" s="2">
        <v>1942.4</v>
      </c>
      <c r="L229" s="6">
        <f t="shared" si="15"/>
        <v>8.3795990733910516E-3</v>
      </c>
      <c r="M229" s="6">
        <f t="shared" si="16"/>
        <v>1.5444015444015444E-2</v>
      </c>
      <c r="N229" s="7">
        <f t="shared" si="17"/>
        <v>1.0615483828656997</v>
      </c>
      <c r="O229" s="8">
        <f t="shared" si="18"/>
        <v>0.70647876447876445</v>
      </c>
      <c r="P229" s="8">
        <f t="shared" si="19"/>
        <v>45.744500000000002</v>
      </c>
    </row>
    <row r="230" spans="1:16" x14ac:dyDescent="0.35">
      <c r="A230" s="1">
        <v>5228</v>
      </c>
      <c r="B230" s="1" t="s">
        <v>67</v>
      </c>
      <c r="C230" s="1" t="s">
        <v>60</v>
      </c>
      <c r="D230" s="1" t="s">
        <v>23</v>
      </c>
      <c r="E230" s="5">
        <v>45656</v>
      </c>
      <c r="F230" s="5">
        <v>45660</v>
      </c>
      <c r="G230" s="2">
        <v>4271.6400000000003</v>
      </c>
      <c r="H230" s="3">
        <v>244653</v>
      </c>
      <c r="I230" s="3">
        <v>3283</v>
      </c>
      <c r="J230" s="3">
        <v>84</v>
      </c>
      <c r="K230" s="2">
        <v>5095.4399999999996</v>
      </c>
      <c r="L230" s="6">
        <f t="shared" si="15"/>
        <v>1.3419005693778536E-2</v>
      </c>
      <c r="M230" s="6">
        <f t="shared" si="16"/>
        <v>2.5586353944562899E-2</v>
      </c>
      <c r="N230" s="7">
        <f t="shared" si="17"/>
        <v>1.1928533303368261</v>
      </c>
      <c r="O230" s="8">
        <f t="shared" si="18"/>
        <v>1.3011392019494366</v>
      </c>
      <c r="P230" s="8">
        <f t="shared" si="19"/>
        <v>50.852857142857147</v>
      </c>
    </row>
    <row r="231" spans="1:16" x14ac:dyDescent="0.35">
      <c r="A231" s="1">
        <v>5229</v>
      </c>
      <c r="B231" s="1" t="s">
        <v>66</v>
      </c>
      <c r="C231" s="1" t="s">
        <v>17</v>
      </c>
      <c r="D231" s="1" t="s">
        <v>38</v>
      </c>
      <c r="E231" s="5">
        <v>45486</v>
      </c>
      <c r="F231" s="5">
        <v>45505</v>
      </c>
      <c r="G231" s="2">
        <v>3132.74</v>
      </c>
      <c r="H231" s="3">
        <v>332210</v>
      </c>
      <c r="I231" s="3">
        <v>5244</v>
      </c>
      <c r="J231" s="3">
        <v>74</v>
      </c>
      <c r="K231" s="2">
        <v>5707.62</v>
      </c>
      <c r="L231" s="6">
        <f t="shared" si="15"/>
        <v>1.5785196110893712E-2</v>
      </c>
      <c r="M231" s="6">
        <f t="shared" si="16"/>
        <v>1.4111365369946605E-2</v>
      </c>
      <c r="N231" s="7">
        <f t="shared" si="17"/>
        <v>1.8219258540447021</v>
      </c>
      <c r="O231" s="8">
        <f t="shared" si="18"/>
        <v>0.59739511823035851</v>
      </c>
      <c r="P231" s="8">
        <f t="shared" si="19"/>
        <v>42.334324324324321</v>
      </c>
    </row>
    <row r="232" spans="1:16" x14ac:dyDescent="0.35">
      <c r="A232" s="1">
        <v>5230</v>
      </c>
      <c r="B232" s="1" t="s">
        <v>65</v>
      </c>
      <c r="C232" s="1" t="s">
        <v>17</v>
      </c>
      <c r="D232" s="1" t="s">
        <v>38</v>
      </c>
      <c r="E232" s="5">
        <v>45495</v>
      </c>
      <c r="F232" s="5">
        <v>45527</v>
      </c>
      <c r="G232" s="2">
        <v>120.54</v>
      </c>
      <c r="H232" s="3">
        <v>15840</v>
      </c>
      <c r="I232" s="3">
        <v>137</v>
      </c>
      <c r="J232" s="3">
        <v>4</v>
      </c>
      <c r="K232" s="2">
        <v>275.83999999999997</v>
      </c>
      <c r="L232" s="6">
        <f t="shared" si="15"/>
        <v>8.6489898989898992E-3</v>
      </c>
      <c r="M232" s="6">
        <f t="shared" si="16"/>
        <v>2.9197080291970802E-2</v>
      </c>
      <c r="N232" s="7">
        <f t="shared" si="17"/>
        <v>2.2883690061390407</v>
      </c>
      <c r="O232" s="8">
        <f t="shared" si="18"/>
        <v>0.87985401459854018</v>
      </c>
      <c r="P232" s="8">
        <f t="shared" si="19"/>
        <v>30.135000000000002</v>
      </c>
    </row>
    <row r="233" spans="1:16" x14ac:dyDescent="0.35">
      <c r="A233" s="1">
        <v>5231</v>
      </c>
      <c r="B233" s="1" t="s">
        <v>52</v>
      </c>
      <c r="C233" s="1" t="s">
        <v>22</v>
      </c>
      <c r="D233" s="1" t="s">
        <v>38</v>
      </c>
      <c r="E233" s="5">
        <v>45560</v>
      </c>
      <c r="F233" s="5">
        <v>45567</v>
      </c>
      <c r="G233" s="2">
        <v>33.5</v>
      </c>
      <c r="H233" s="3">
        <v>64419</v>
      </c>
      <c r="I233" s="3">
        <v>3647</v>
      </c>
      <c r="J233" s="3">
        <v>324</v>
      </c>
      <c r="K233" s="2">
        <v>21328.92</v>
      </c>
      <c r="L233" s="6">
        <f t="shared" si="15"/>
        <v>5.6613731973486084E-2</v>
      </c>
      <c r="M233" s="6">
        <f t="shared" si="16"/>
        <v>8.8840142582944884E-2</v>
      </c>
      <c r="N233" s="7">
        <f t="shared" si="17"/>
        <v>636.68417910447761</v>
      </c>
      <c r="O233" s="8">
        <f t="shared" si="18"/>
        <v>9.1856320263230054E-3</v>
      </c>
      <c r="P233" s="8">
        <f t="shared" si="19"/>
        <v>0.10339506172839506</v>
      </c>
    </row>
    <row r="234" spans="1:16" x14ac:dyDescent="0.35">
      <c r="A234" s="1">
        <v>5232</v>
      </c>
      <c r="B234" s="1" t="s">
        <v>103</v>
      </c>
      <c r="C234" s="1" t="s">
        <v>60</v>
      </c>
      <c r="D234" s="1" t="s">
        <v>38</v>
      </c>
      <c r="E234" s="5">
        <v>45807</v>
      </c>
      <c r="F234" s="5">
        <v>45834</v>
      </c>
      <c r="G234" s="2">
        <v>1935.37</v>
      </c>
      <c r="H234" s="3">
        <v>126083</v>
      </c>
      <c r="I234" s="3">
        <v>2207</v>
      </c>
      <c r="J234" s="3">
        <v>63</v>
      </c>
      <c r="K234" s="2">
        <v>2911.23</v>
      </c>
      <c r="L234" s="6">
        <f t="shared" si="15"/>
        <v>1.7504342377640127E-2</v>
      </c>
      <c r="M234" s="6">
        <f t="shared" si="16"/>
        <v>2.8545536927956503E-2</v>
      </c>
      <c r="N234" s="7">
        <f t="shared" si="17"/>
        <v>1.5042239985119126</v>
      </c>
      <c r="O234" s="8">
        <f t="shared" si="18"/>
        <v>0.87692342546443136</v>
      </c>
      <c r="P234" s="8">
        <f t="shared" si="19"/>
        <v>30.72015873015873</v>
      </c>
    </row>
    <row r="235" spans="1:16" x14ac:dyDescent="0.35">
      <c r="A235" s="1">
        <v>5233</v>
      </c>
      <c r="B235" s="1" t="s">
        <v>136</v>
      </c>
      <c r="C235" s="1" t="s">
        <v>37</v>
      </c>
      <c r="D235" s="1" t="s">
        <v>18</v>
      </c>
      <c r="E235" s="5">
        <v>45522</v>
      </c>
      <c r="F235" s="5">
        <v>45558</v>
      </c>
      <c r="G235" s="2">
        <v>3322.52</v>
      </c>
      <c r="H235" s="3">
        <v>208439</v>
      </c>
      <c r="I235" s="3">
        <v>2023</v>
      </c>
      <c r="J235" s="3">
        <v>46</v>
      </c>
      <c r="K235" s="2">
        <v>11350.5</v>
      </c>
      <c r="L235" s="6">
        <f t="shared" si="15"/>
        <v>9.7054773818719148E-3</v>
      </c>
      <c r="M235" s="6">
        <f t="shared" si="16"/>
        <v>2.2738507167572912E-2</v>
      </c>
      <c r="N235" s="7">
        <f t="shared" si="17"/>
        <v>3.4162322574431454</v>
      </c>
      <c r="O235" s="8">
        <f t="shared" si="18"/>
        <v>1.6423727137913988</v>
      </c>
      <c r="P235" s="8">
        <f t="shared" si="19"/>
        <v>72.228695652173911</v>
      </c>
    </row>
    <row r="236" spans="1:16" x14ac:dyDescent="0.35">
      <c r="A236" s="1">
        <v>5234</v>
      </c>
      <c r="B236" s="1" t="s">
        <v>48</v>
      </c>
      <c r="C236" s="1" t="s">
        <v>17</v>
      </c>
      <c r="D236" s="1" t="s">
        <v>26</v>
      </c>
      <c r="E236" s="5">
        <v>45732</v>
      </c>
      <c r="F236" s="5">
        <v>45752</v>
      </c>
      <c r="G236" s="2">
        <v>1032.1500000000001</v>
      </c>
      <c r="H236" s="3">
        <v>100501</v>
      </c>
      <c r="I236" s="3">
        <v>2933</v>
      </c>
      <c r="J236" s="3">
        <v>116</v>
      </c>
      <c r="K236" s="2">
        <v>8178</v>
      </c>
      <c r="L236" s="6">
        <f t="shared" si="15"/>
        <v>2.9183789216027701E-2</v>
      </c>
      <c r="M236" s="6">
        <f t="shared" si="16"/>
        <v>3.954994885782475E-2</v>
      </c>
      <c r="N236" s="7">
        <f t="shared" si="17"/>
        <v>7.9232669670106084</v>
      </c>
      <c r="O236" s="8">
        <f t="shared" si="18"/>
        <v>0.35190930787589503</v>
      </c>
      <c r="P236" s="8">
        <f t="shared" si="19"/>
        <v>8.8978448275862085</v>
      </c>
    </row>
    <row r="237" spans="1:16" x14ac:dyDescent="0.35">
      <c r="A237" s="1">
        <v>5235</v>
      </c>
      <c r="B237" s="1" t="s">
        <v>19</v>
      </c>
      <c r="C237" s="1" t="s">
        <v>17</v>
      </c>
      <c r="D237" s="1" t="s">
        <v>26</v>
      </c>
      <c r="E237" s="5">
        <v>45738</v>
      </c>
      <c r="F237" s="5">
        <v>45752</v>
      </c>
      <c r="G237" s="2">
        <v>588.04</v>
      </c>
      <c r="H237" s="3">
        <v>81333</v>
      </c>
      <c r="I237" s="3">
        <v>1239</v>
      </c>
      <c r="J237" s="3">
        <v>39</v>
      </c>
      <c r="K237" s="2">
        <v>2314.65</v>
      </c>
      <c r="L237" s="6">
        <f t="shared" si="15"/>
        <v>1.5233668990446682E-2</v>
      </c>
      <c r="M237" s="6">
        <f t="shared" si="16"/>
        <v>3.1476997578692496E-2</v>
      </c>
      <c r="N237" s="7">
        <f t="shared" si="17"/>
        <v>3.9362118223250122</v>
      </c>
      <c r="O237" s="8">
        <f t="shared" si="18"/>
        <v>0.47460855528652135</v>
      </c>
      <c r="P237" s="8">
        <f t="shared" si="19"/>
        <v>15.077948717948717</v>
      </c>
    </row>
    <row r="238" spans="1:16" x14ac:dyDescent="0.35">
      <c r="A238" s="1">
        <v>5236</v>
      </c>
      <c r="B238" s="1" t="s">
        <v>137</v>
      </c>
      <c r="C238" s="1" t="s">
        <v>22</v>
      </c>
      <c r="D238" s="1" t="s">
        <v>38</v>
      </c>
      <c r="E238" s="5">
        <v>45705</v>
      </c>
      <c r="F238" s="5">
        <v>45721</v>
      </c>
      <c r="G238" s="2">
        <v>729.04</v>
      </c>
      <c r="H238" s="3">
        <v>476495</v>
      </c>
      <c r="I238" s="3">
        <v>22227</v>
      </c>
      <c r="J238" s="3">
        <v>2276</v>
      </c>
      <c r="K238" s="2">
        <v>69804.92</v>
      </c>
      <c r="L238" s="6">
        <f t="shared" si="15"/>
        <v>4.6646869327065341E-2</v>
      </c>
      <c r="M238" s="6">
        <f t="shared" si="16"/>
        <v>0.10239798443334683</v>
      </c>
      <c r="N238" s="7">
        <f t="shared" si="17"/>
        <v>95.749094699879294</v>
      </c>
      <c r="O238" s="8">
        <f t="shared" si="18"/>
        <v>3.2799748054168354E-2</v>
      </c>
      <c r="P238" s="8">
        <f t="shared" si="19"/>
        <v>0.32031634446397189</v>
      </c>
    </row>
    <row r="239" spans="1:16" x14ac:dyDescent="0.35">
      <c r="A239" s="1">
        <v>5237</v>
      </c>
      <c r="B239" s="1" t="s">
        <v>46</v>
      </c>
      <c r="C239" s="1" t="s">
        <v>47</v>
      </c>
      <c r="D239" s="1" t="s">
        <v>38</v>
      </c>
      <c r="E239" s="5">
        <v>45657</v>
      </c>
      <c r="F239" s="5">
        <v>45692</v>
      </c>
      <c r="G239" s="2">
        <v>2095.27</v>
      </c>
      <c r="H239" s="3">
        <v>243071</v>
      </c>
      <c r="I239" s="3">
        <v>5459</v>
      </c>
      <c r="J239" s="3">
        <v>217</v>
      </c>
      <c r="K239" s="2">
        <v>10726.31</v>
      </c>
      <c r="L239" s="6">
        <f t="shared" si="15"/>
        <v>2.2458458639656727E-2</v>
      </c>
      <c r="M239" s="6">
        <f t="shared" si="16"/>
        <v>3.9750870122733102E-2</v>
      </c>
      <c r="N239" s="7">
        <f t="shared" si="17"/>
        <v>5.1192972743369589</v>
      </c>
      <c r="O239" s="8">
        <f t="shared" si="18"/>
        <v>0.38381938083898148</v>
      </c>
      <c r="P239" s="8">
        <f t="shared" si="19"/>
        <v>9.6556221198156678</v>
      </c>
    </row>
    <row r="240" spans="1:16" x14ac:dyDescent="0.35">
      <c r="A240" s="1">
        <v>5238</v>
      </c>
      <c r="B240" s="1" t="s">
        <v>90</v>
      </c>
      <c r="C240" s="1" t="s">
        <v>41</v>
      </c>
      <c r="D240" s="1" t="s">
        <v>26</v>
      </c>
      <c r="E240" s="5">
        <v>45762</v>
      </c>
      <c r="F240" s="5">
        <v>45800</v>
      </c>
      <c r="G240" s="2">
        <v>1094.28</v>
      </c>
      <c r="H240" s="3">
        <v>190974</v>
      </c>
      <c r="I240" s="3">
        <v>2094</v>
      </c>
      <c r="J240" s="3">
        <v>22</v>
      </c>
      <c r="K240" s="2">
        <v>821.04</v>
      </c>
      <c r="L240" s="6">
        <f t="shared" si="15"/>
        <v>1.0964843381821609E-2</v>
      </c>
      <c r="M240" s="6">
        <f t="shared" si="16"/>
        <v>1.0506208213944603E-2</v>
      </c>
      <c r="N240" s="7">
        <f t="shared" si="17"/>
        <v>0.75030156815440285</v>
      </c>
      <c r="O240" s="8">
        <f t="shared" si="18"/>
        <v>0.52257879656160455</v>
      </c>
      <c r="P240" s="8">
        <f t="shared" si="19"/>
        <v>49.74</v>
      </c>
    </row>
    <row r="241" spans="1:16" x14ac:dyDescent="0.35">
      <c r="A241" s="1">
        <v>5239</v>
      </c>
      <c r="B241" s="1" t="s">
        <v>66</v>
      </c>
      <c r="C241" s="1" t="s">
        <v>17</v>
      </c>
      <c r="D241" s="1" t="s">
        <v>23</v>
      </c>
      <c r="E241" s="5">
        <v>45592</v>
      </c>
      <c r="F241" s="5">
        <v>45609</v>
      </c>
      <c r="G241" s="2">
        <v>2081.7199999999998</v>
      </c>
      <c r="H241" s="3">
        <v>339043</v>
      </c>
      <c r="I241" s="3">
        <v>8656</v>
      </c>
      <c r="J241" s="3">
        <v>133</v>
      </c>
      <c r="K241" s="2">
        <v>8699.5300000000007</v>
      </c>
      <c r="L241" s="6">
        <f t="shared" si="15"/>
        <v>2.5530684898375722E-2</v>
      </c>
      <c r="M241" s="6">
        <f t="shared" si="16"/>
        <v>1.5365064695009242E-2</v>
      </c>
      <c r="N241" s="7">
        <f t="shared" si="17"/>
        <v>4.1790106258286421</v>
      </c>
      <c r="O241" s="8">
        <f t="shared" si="18"/>
        <v>0.24049445471349351</v>
      </c>
      <c r="P241" s="8">
        <f t="shared" si="19"/>
        <v>15.652030075187968</v>
      </c>
    </row>
    <row r="242" spans="1:16" x14ac:dyDescent="0.35">
      <c r="A242" s="1">
        <v>5240</v>
      </c>
      <c r="B242" s="1" t="s">
        <v>40</v>
      </c>
      <c r="C242" s="1" t="s">
        <v>41</v>
      </c>
      <c r="D242" s="1" t="s">
        <v>26</v>
      </c>
      <c r="E242" s="5">
        <v>45581</v>
      </c>
      <c r="F242" s="5">
        <v>45608</v>
      </c>
      <c r="G242" s="2">
        <v>3305.14</v>
      </c>
      <c r="H242" s="3">
        <v>375584</v>
      </c>
      <c r="I242" s="3">
        <v>14739</v>
      </c>
      <c r="J242" s="3">
        <v>252</v>
      </c>
      <c r="K242" s="2">
        <v>10934.28</v>
      </c>
      <c r="L242" s="6">
        <f t="shared" si="15"/>
        <v>3.9242885745931669E-2</v>
      </c>
      <c r="M242" s="6">
        <f t="shared" si="16"/>
        <v>1.7097496438021574E-2</v>
      </c>
      <c r="N242" s="7">
        <f t="shared" si="17"/>
        <v>3.3082653079748514</v>
      </c>
      <c r="O242" s="8">
        <f t="shared" si="18"/>
        <v>0.22424452133794692</v>
      </c>
      <c r="P242" s="8">
        <f t="shared" si="19"/>
        <v>13.115634920634919</v>
      </c>
    </row>
    <row r="243" spans="1:16" x14ac:dyDescent="0.35">
      <c r="A243" s="1">
        <v>5241</v>
      </c>
      <c r="B243" s="1" t="s">
        <v>105</v>
      </c>
      <c r="C243" s="1" t="s">
        <v>17</v>
      </c>
      <c r="D243" s="1" t="s">
        <v>26</v>
      </c>
      <c r="E243" s="5">
        <v>45799</v>
      </c>
      <c r="F243" s="5">
        <v>45833</v>
      </c>
      <c r="G243" s="2">
        <v>1077.1199999999999</v>
      </c>
      <c r="H243" s="3">
        <v>121025</v>
      </c>
      <c r="I243" s="3">
        <v>1619</v>
      </c>
      <c r="J243" s="3">
        <v>76</v>
      </c>
      <c r="K243" s="2">
        <v>2321.8000000000002</v>
      </c>
      <c r="L243" s="6">
        <f t="shared" si="15"/>
        <v>1.3377401363354679E-2</v>
      </c>
      <c r="M243" s="6">
        <f t="shared" si="16"/>
        <v>4.6942557134033357E-2</v>
      </c>
      <c r="N243" s="7">
        <f t="shared" si="17"/>
        <v>2.1555629827688656</v>
      </c>
      <c r="O243" s="8">
        <f t="shared" si="18"/>
        <v>0.66529956763434217</v>
      </c>
      <c r="P243" s="8">
        <f t="shared" si="19"/>
        <v>14.172631578947367</v>
      </c>
    </row>
    <row r="244" spans="1:16" x14ac:dyDescent="0.35">
      <c r="A244" s="1">
        <v>5242</v>
      </c>
      <c r="B244" s="1" t="s">
        <v>50</v>
      </c>
      <c r="C244" s="1" t="s">
        <v>22</v>
      </c>
      <c r="D244" s="1" t="s">
        <v>23</v>
      </c>
      <c r="E244" s="5">
        <v>45569</v>
      </c>
      <c r="F244" s="5">
        <v>45597</v>
      </c>
      <c r="G244" s="2">
        <v>655.81</v>
      </c>
      <c r="H244" s="3">
        <v>385771</v>
      </c>
      <c r="I244" s="3">
        <v>21065</v>
      </c>
      <c r="J244" s="3">
        <v>2541</v>
      </c>
      <c r="K244" s="2">
        <v>180436.41</v>
      </c>
      <c r="L244" s="6">
        <f t="shared" si="15"/>
        <v>5.4604934015257754E-2</v>
      </c>
      <c r="M244" s="6">
        <f t="shared" si="16"/>
        <v>0.1206266318537859</v>
      </c>
      <c r="N244" s="7">
        <f t="shared" si="17"/>
        <v>275.13519159512668</v>
      </c>
      <c r="O244" s="8">
        <f t="shared" si="18"/>
        <v>3.1132684547828148E-2</v>
      </c>
      <c r="P244" s="8">
        <f t="shared" si="19"/>
        <v>0.25809130263675717</v>
      </c>
    </row>
    <row r="245" spans="1:16" x14ac:dyDescent="0.35">
      <c r="A245" s="1">
        <v>5243</v>
      </c>
      <c r="B245" s="1" t="s">
        <v>138</v>
      </c>
      <c r="C245" s="1" t="s">
        <v>47</v>
      </c>
      <c r="D245" s="1" t="s">
        <v>38</v>
      </c>
      <c r="E245" s="5">
        <v>45554</v>
      </c>
      <c r="F245" s="5">
        <v>45572</v>
      </c>
      <c r="G245" s="2">
        <v>3843.92</v>
      </c>
      <c r="H245" s="3">
        <v>346924</v>
      </c>
      <c r="I245" s="3">
        <v>11869</v>
      </c>
      <c r="J245" s="3">
        <v>666</v>
      </c>
      <c r="K245" s="2">
        <v>43143.48</v>
      </c>
      <c r="L245" s="6">
        <f t="shared" si="15"/>
        <v>3.4212104091962507E-2</v>
      </c>
      <c r="M245" s="6">
        <f t="shared" si="16"/>
        <v>5.6112562136658523E-2</v>
      </c>
      <c r="N245" s="7">
        <f t="shared" si="17"/>
        <v>11.223823596744991</v>
      </c>
      <c r="O245" s="8">
        <f t="shared" si="18"/>
        <v>0.32386216193445111</v>
      </c>
      <c r="P245" s="8">
        <f t="shared" si="19"/>
        <v>5.7716516516516521</v>
      </c>
    </row>
    <row r="246" spans="1:16" x14ac:dyDescent="0.35">
      <c r="A246" s="1">
        <v>5244</v>
      </c>
      <c r="B246" s="1" t="s">
        <v>79</v>
      </c>
      <c r="C246" s="1" t="s">
        <v>28</v>
      </c>
      <c r="D246" s="1" t="s">
        <v>26</v>
      </c>
      <c r="E246" s="5">
        <v>45710</v>
      </c>
      <c r="F246" s="5">
        <v>45728</v>
      </c>
      <c r="G246" s="2">
        <v>4832.05</v>
      </c>
      <c r="H246" s="3">
        <v>254855</v>
      </c>
      <c r="I246" s="3">
        <v>10275</v>
      </c>
      <c r="J246" s="3">
        <v>403</v>
      </c>
      <c r="K246" s="2">
        <v>32328.66</v>
      </c>
      <c r="L246" s="6">
        <f t="shared" si="15"/>
        <v>4.0317043024464892E-2</v>
      </c>
      <c r="M246" s="6">
        <f t="shared" si="16"/>
        <v>3.922141119221411E-2</v>
      </c>
      <c r="N246" s="7">
        <f t="shared" si="17"/>
        <v>6.6904647095953065</v>
      </c>
      <c r="O246" s="8">
        <f t="shared" si="18"/>
        <v>0.47027250608272508</v>
      </c>
      <c r="P246" s="8">
        <f t="shared" si="19"/>
        <v>11.990198511166254</v>
      </c>
    </row>
    <row r="247" spans="1:16" x14ac:dyDescent="0.35">
      <c r="A247" s="1">
        <v>5245</v>
      </c>
      <c r="B247" s="1" t="s">
        <v>89</v>
      </c>
      <c r="C247" s="1" t="s">
        <v>25</v>
      </c>
      <c r="D247" s="1" t="s">
        <v>26</v>
      </c>
      <c r="E247" s="5">
        <v>45480</v>
      </c>
      <c r="F247" s="5">
        <v>45512</v>
      </c>
      <c r="G247" s="2">
        <v>1170.3599999999999</v>
      </c>
      <c r="H247" s="3">
        <v>147960</v>
      </c>
      <c r="I247" s="3">
        <v>4207</v>
      </c>
      <c r="J247" s="3">
        <v>88</v>
      </c>
      <c r="K247" s="2">
        <v>4518.8</v>
      </c>
      <c r="L247" s="6">
        <f t="shared" si="15"/>
        <v>2.8433360367666936E-2</v>
      </c>
      <c r="M247" s="6">
        <f t="shared" si="16"/>
        <v>2.0917518421678154E-2</v>
      </c>
      <c r="N247" s="7">
        <f t="shared" si="17"/>
        <v>3.8610342116955469</v>
      </c>
      <c r="O247" s="8">
        <f t="shared" si="18"/>
        <v>0.27819348704540048</v>
      </c>
      <c r="P247" s="8">
        <f t="shared" si="19"/>
        <v>13.299545454545454</v>
      </c>
    </row>
    <row r="248" spans="1:16" x14ac:dyDescent="0.35">
      <c r="A248" s="1">
        <v>5246</v>
      </c>
      <c r="B248" s="1" t="s">
        <v>139</v>
      </c>
      <c r="C248" s="1" t="s">
        <v>60</v>
      </c>
      <c r="D248" s="1" t="s">
        <v>20</v>
      </c>
      <c r="E248" s="5">
        <v>45592</v>
      </c>
      <c r="F248" s="5">
        <v>45604</v>
      </c>
      <c r="G248" s="2">
        <v>2082.83</v>
      </c>
      <c r="H248" s="3">
        <v>241068</v>
      </c>
      <c r="I248" s="3">
        <v>1324</v>
      </c>
      <c r="J248" s="3">
        <v>42</v>
      </c>
      <c r="K248" s="2">
        <v>1892.52</v>
      </c>
      <c r="L248" s="6">
        <f t="shared" si="15"/>
        <v>5.4922262598105101E-3</v>
      </c>
      <c r="M248" s="6">
        <f t="shared" si="16"/>
        <v>3.1722054380664652E-2</v>
      </c>
      <c r="N248" s="7">
        <f t="shared" si="17"/>
        <v>0.90862912479655089</v>
      </c>
      <c r="O248" s="8">
        <f t="shared" si="18"/>
        <v>1.5731344410876131</v>
      </c>
      <c r="P248" s="8">
        <f t="shared" si="19"/>
        <v>49.591190476190476</v>
      </c>
    </row>
    <row r="249" spans="1:16" x14ac:dyDescent="0.35">
      <c r="A249" s="1">
        <v>5247</v>
      </c>
      <c r="B249" s="1" t="s">
        <v>128</v>
      </c>
      <c r="C249" s="1" t="s">
        <v>28</v>
      </c>
      <c r="D249" s="1" t="s">
        <v>38</v>
      </c>
      <c r="E249" s="5">
        <v>45781</v>
      </c>
      <c r="F249" s="5">
        <v>45815</v>
      </c>
      <c r="G249" s="2">
        <v>4472.5600000000004</v>
      </c>
      <c r="H249" s="3">
        <v>330078</v>
      </c>
      <c r="I249" s="3">
        <v>25731</v>
      </c>
      <c r="J249" s="3">
        <v>2404</v>
      </c>
      <c r="K249" s="2">
        <v>144384.24</v>
      </c>
      <c r="L249" s="6">
        <f t="shared" si="15"/>
        <v>7.7954301710504784E-2</v>
      </c>
      <c r="M249" s="6">
        <f t="shared" si="16"/>
        <v>9.3428160584508951E-2</v>
      </c>
      <c r="N249" s="7">
        <f t="shared" si="17"/>
        <v>32.282236571449012</v>
      </c>
      <c r="O249" s="8">
        <f t="shared" si="18"/>
        <v>0.17381990595002139</v>
      </c>
      <c r="P249" s="8">
        <f t="shared" si="19"/>
        <v>1.8604658901830284</v>
      </c>
    </row>
    <row r="250" spans="1:16" x14ac:dyDescent="0.35">
      <c r="A250" s="1">
        <v>5248</v>
      </c>
      <c r="B250" s="1" t="s">
        <v>90</v>
      </c>
      <c r="C250" s="1" t="s">
        <v>41</v>
      </c>
      <c r="D250" s="1" t="s">
        <v>26</v>
      </c>
      <c r="E250" s="5">
        <v>45627</v>
      </c>
      <c r="F250" s="5">
        <v>45636</v>
      </c>
      <c r="G250" s="2">
        <v>481.8</v>
      </c>
      <c r="H250" s="3">
        <v>71804</v>
      </c>
      <c r="I250" s="3">
        <v>1025</v>
      </c>
      <c r="J250" s="3">
        <v>25</v>
      </c>
      <c r="K250" s="2">
        <v>1432.25</v>
      </c>
      <c r="L250" s="6">
        <f t="shared" si="15"/>
        <v>1.4274970753718455E-2</v>
      </c>
      <c r="M250" s="6">
        <f t="shared" si="16"/>
        <v>2.4390243902439025E-2</v>
      </c>
      <c r="N250" s="7">
        <f t="shared" si="17"/>
        <v>2.9727065172270652</v>
      </c>
      <c r="O250" s="8">
        <f t="shared" si="18"/>
        <v>0.47004878048780491</v>
      </c>
      <c r="P250" s="8">
        <f t="shared" si="19"/>
        <v>19.272000000000002</v>
      </c>
    </row>
    <row r="251" spans="1:16" x14ac:dyDescent="0.35">
      <c r="A251" s="1">
        <v>5249</v>
      </c>
      <c r="B251" s="1" t="s">
        <v>31</v>
      </c>
      <c r="C251" s="1" t="s">
        <v>25</v>
      </c>
      <c r="D251" s="1" t="s">
        <v>38</v>
      </c>
      <c r="E251" s="5">
        <v>45516</v>
      </c>
      <c r="F251" s="5">
        <v>45558</v>
      </c>
      <c r="G251" s="2">
        <v>1487.28</v>
      </c>
      <c r="H251" s="3">
        <v>249125</v>
      </c>
      <c r="I251" s="3">
        <v>3912</v>
      </c>
      <c r="J251" s="3">
        <v>129</v>
      </c>
      <c r="K251" s="2">
        <v>8977.11</v>
      </c>
      <c r="L251" s="6">
        <f t="shared" si="15"/>
        <v>1.5702960361264427E-2</v>
      </c>
      <c r="M251" s="6">
        <f t="shared" si="16"/>
        <v>3.2975460122699383E-2</v>
      </c>
      <c r="N251" s="7">
        <f t="shared" si="17"/>
        <v>6.0359246409553018</v>
      </c>
      <c r="O251" s="8">
        <f t="shared" si="18"/>
        <v>0.38018404907975462</v>
      </c>
      <c r="P251" s="8">
        <f t="shared" si="19"/>
        <v>11.529302325581396</v>
      </c>
    </row>
    <row r="252" spans="1:16" x14ac:dyDescent="0.35">
      <c r="A252" s="1">
        <v>5250</v>
      </c>
      <c r="B252" s="1" t="s">
        <v>61</v>
      </c>
      <c r="C252" s="1" t="s">
        <v>22</v>
      </c>
      <c r="D252" s="1" t="s">
        <v>18</v>
      </c>
      <c r="E252" s="5">
        <v>45745</v>
      </c>
      <c r="F252" s="5">
        <v>45780</v>
      </c>
      <c r="G252" s="2">
        <v>210.52</v>
      </c>
      <c r="H252" s="3">
        <v>228827</v>
      </c>
      <c r="I252" s="3">
        <v>9798</v>
      </c>
      <c r="J252" s="3">
        <v>1180</v>
      </c>
      <c r="K252" s="2">
        <v>54350.8</v>
      </c>
      <c r="L252" s="6">
        <f t="shared" si="15"/>
        <v>4.2818373705900088E-2</v>
      </c>
      <c r="M252" s="6">
        <f t="shared" si="16"/>
        <v>0.12043274137579098</v>
      </c>
      <c r="N252" s="7">
        <f t="shared" si="17"/>
        <v>258.17404522135666</v>
      </c>
      <c r="O252" s="8">
        <f t="shared" si="18"/>
        <v>2.1486017554602981E-2</v>
      </c>
      <c r="P252" s="8">
        <f t="shared" si="19"/>
        <v>0.17840677966101695</v>
      </c>
    </row>
    <row r="253" spans="1:16" x14ac:dyDescent="0.35">
      <c r="A253" s="1">
        <v>5251</v>
      </c>
      <c r="B253" s="1" t="s">
        <v>132</v>
      </c>
      <c r="C253" s="1" t="s">
        <v>25</v>
      </c>
      <c r="D253" s="1" t="s">
        <v>26</v>
      </c>
      <c r="E253" s="5">
        <v>45470</v>
      </c>
      <c r="F253" s="5">
        <v>45480</v>
      </c>
      <c r="G253" s="2">
        <v>698.93</v>
      </c>
      <c r="H253" s="3">
        <v>265751</v>
      </c>
      <c r="I253" s="3">
        <v>12982</v>
      </c>
      <c r="J253" s="3">
        <v>768</v>
      </c>
      <c r="K253" s="2">
        <v>57653.760000000002</v>
      </c>
      <c r="L253" s="6">
        <f t="shared" si="15"/>
        <v>4.8850239509917182E-2</v>
      </c>
      <c r="M253" s="6">
        <f t="shared" si="16"/>
        <v>5.9158835310429828E-2</v>
      </c>
      <c r="N253" s="7">
        <f t="shared" si="17"/>
        <v>82.488604008985178</v>
      </c>
      <c r="O253" s="8">
        <f t="shared" si="18"/>
        <v>5.3838391619164996E-2</v>
      </c>
      <c r="P253" s="8">
        <f t="shared" si="19"/>
        <v>0.91006510416666664</v>
      </c>
    </row>
    <row r="254" spans="1:16" x14ac:dyDescent="0.35">
      <c r="A254" s="1">
        <v>5252</v>
      </c>
      <c r="B254" s="1" t="s">
        <v>140</v>
      </c>
      <c r="C254" s="1" t="s">
        <v>41</v>
      </c>
      <c r="D254" s="1" t="s">
        <v>23</v>
      </c>
      <c r="E254" s="5">
        <v>45617</v>
      </c>
      <c r="F254" s="5">
        <v>45650</v>
      </c>
      <c r="G254" s="2">
        <v>2681.88</v>
      </c>
      <c r="H254" s="3">
        <v>284701</v>
      </c>
      <c r="I254" s="3">
        <v>11060</v>
      </c>
      <c r="J254" s="3">
        <v>223</v>
      </c>
      <c r="K254" s="2">
        <v>3922.57</v>
      </c>
      <c r="L254" s="6">
        <f t="shared" si="15"/>
        <v>3.8847773629175873E-2</v>
      </c>
      <c r="M254" s="6">
        <f t="shared" si="16"/>
        <v>2.0162748643761302E-2</v>
      </c>
      <c r="N254" s="7">
        <f t="shared" si="17"/>
        <v>1.4626195057198681</v>
      </c>
      <c r="O254" s="8">
        <f t="shared" si="18"/>
        <v>0.24248462929475589</v>
      </c>
      <c r="P254" s="8">
        <f t="shared" si="19"/>
        <v>12.026367713004484</v>
      </c>
    </row>
    <row r="255" spans="1:16" x14ac:dyDescent="0.35">
      <c r="A255" s="1">
        <v>5253</v>
      </c>
      <c r="B255" s="1" t="s">
        <v>24</v>
      </c>
      <c r="C255" s="1" t="s">
        <v>25</v>
      </c>
      <c r="D255" s="1" t="s">
        <v>23</v>
      </c>
      <c r="E255" s="5">
        <v>45607</v>
      </c>
      <c r="F255" s="5">
        <v>45612</v>
      </c>
      <c r="G255" s="2">
        <v>939.38</v>
      </c>
      <c r="H255" s="3">
        <v>228006</v>
      </c>
      <c r="I255" s="3">
        <v>9776</v>
      </c>
      <c r="J255" s="3">
        <v>217</v>
      </c>
      <c r="K255" s="2">
        <v>11281.83</v>
      </c>
      <c r="L255" s="6">
        <f t="shared" si="15"/>
        <v>4.2876064664964957E-2</v>
      </c>
      <c r="M255" s="6">
        <f t="shared" si="16"/>
        <v>2.2197217675941079E-2</v>
      </c>
      <c r="N255" s="7">
        <f t="shared" si="17"/>
        <v>12.009868210947646</v>
      </c>
      <c r="O255" s="8">
        <f t="shared" si="18"/>
        <v>9.6090425531914894E-2</v>
      </c>
      <c r="P255" s="8">
        <f t="shared" si="19"/>
        <v>4.3289400921658983</v>
      </c>
    </row>
    <row r="256" spans="1:16" x14ac:dyDescent="0.35">
      <c r="A256" s="1">
        <v>5254</v>
      </c>
      <c r="B256" s="1" t="s">
        <v>128</v>
      </c>
      <c r="C256" s="1" t="s">
        <v>28</v>
      </c>
      <c r="D256" s="1" t="s">
        <v>20</v>
      </c>
      <c r="E256" s="5">
        <v>45728</v>
      </c>
      <c r="F256" s="5">
        <v>45743</v>
      </c>
      <c r="G256" s="2">
        <v>7048.31</v>
      </c>
      <c r="H256" s="3">
        <v>350662</v>
      </c>
      <c r="I256" s="3">
        <v>23850</v>
      </c>
      <c r="J256" s="3">
        <v>1594</v>
      </c>
      <c r="K256" s="2">
        <v>142615.18</v>
      </c>
      <c r="L256" s="6">
        <f t="shared" si="15"/>
        <v>6.8014213116904601E-2</v>
      </c>
      <c r="M256" s="6">
        <f t="shared" si="16"/>
        <v>6.683438155136269E-2</v>
      </c>
      <c r="N256" s="7">
        <f t="shared" si="17"/>
        <v>20.233953954919688</v>
      </c>
      <c r="O256" s="8">
        <f t="shared" si="18"/>
        <v>0.2955266247379455</v>
      </c>
      <c r="P256" s="8">
        <f t="shared" si="19"/>
        <v>4.4217754077791724</v>
      </c>
    </row>
    <row r="257" spans="1:16" x14ac:dyDescent="0.35">
      <c r="A257" s="1">
        <v>5255</v>
      </c>
      <c r="B257" s="1" t="s">
        <v>72</v>
      </c>
      <c r="C257" s="1" t="s">
        <v>37</v>
      </c>
      <c r="D257" s="1" t="s">
        <v>38</v>
      </c>
      <c r="E257" s="5">
        <v>45509</v>
      </c>
      <c r="F257" s="5">
        <v>45524</v>
      </c>
      <c r="G257" s="2">
        <v>5597.58</v>
      </c>
      <c r="H257" s="3">
        <v>289430</v>
      </c>
      <c r="I257" s="3">
        <v>2338</v>
      </c>
      <c r="J257" s="3">
        <v>69</v>
      </c>
      <c r="K257" s="2">
        <v>15300.75</v>
      </c>
      <c r="L257" s="6">
        <f t="shared" si="15"/>
        <v>8.077946308261065E-3</v>
      </c>
      <c r="M257" s="6">
        <f t="shared" si="16"/>
        <v>2.9512403763900769E-2</v>
      </c>
      <c r="N257" s="7">
        <f t="shared" si="17"/>
        <v>2.7334580300772835</v>
      </c>
      <c r="O257" s="8">
        <f t="shared" si="18"/>
        <v>2.3941745081266039</v>
      </c>
      <c r="P257" s="8">
        <f t="shared" si="19"/>
        <v>81.124347826086961</v>
      </c>
    </row>
    <row r="258" spans="1:16" x14ac:dyDescent="0.35">
      <c r="A258" s="1">
        <v>5256</v>
      </c>
      <c r="B258" s="1" t="s">
        <v>118</v>
      </c>
      <c r="C258" s="1" t="s">
        <v>37</v>
      </c>
      <c r="D258" s="1" t="s">
        <v>26</v>
      </c>
      <c r="E258" s="5">
        <v>45546</v>
      </c>
      <c r="F258" s="5">
        <v>45550</v>
      </c>
      <c r="G258" s="2">
        <v>7958.21</v>
      </c>
      <c r="H258" s="3">
        <v>462149</v>
      </c>
      <c r="I258" s="3">
        <v>2481</v>
      </c>
      <c r="J258" s="3">
        <v>40</v>
      </c>
      <c r="K258" s="2">
        <v>4282</v>
      </c>
      <c r="L258" s="6">
        <f t="shared" ref="L258:L321" si="20">IFERROR(I258/H258,0)</f>
        <v>5.3683985035129361E-3</v>
      </c>
      <c r="M258" s="6">
        <f t="shared" ref="M258:M321" si="21">IFERROR(J258/I258,0)</f>
        <v>1.6122531237404272E-2</v>
      </c>
      <c r="N258" s="7">
        <f t="shared" ref="N258:N321" si="22">IFERROR(K258/G258,0)</f>
        <v>0.53806069455317218</v>
      </c>
      <c r="O258" s="8">
        <f t="shared" ref="O258:O321" si="23">IFERROR(G258/I258,0)</f>
        <v>3.2076622329705762</v>
      </c>
      <c r="P258" s="8">
        <f t="shared" ref="P258:P321" si="24">IFERROR(G258/J258,0)</f>
        <v>198.95525000000001</v>
      </c>
    </row>
    <row r="259" spans="1:16" x14ac:dyDescent="0.35">
      <c r="A259" s="1">
        <v>5257</v>
      </c>
      <c r="B259" s="1" t="s">
        <v>33</v>
      </c>
      <c r="C259" s="1" t="s">
        <v>22</v>
      </c>
      <c r="D259" s="1" t="s">
        <v>23</v>
      </c>
      <c r="E259" s="5">
        <v>45814</v>
      </c>
      <c r="F259" s="5">
        <v>45821</v>
      </c>
      <c r="G259" s="2">
        <v>330.47</v>
      </c>
      <c r="H259" s="3">
        <v>472102</v>
      </c>
      <c r="I259" s="3">
        <v>24360</v>
      </c>
      <c r="J259" s="3">
        <v>2355</v>
      </c>
      <c r="K259" s="2">
        <v>141818.1</v>
      </c>
      <c r="L259" s="6">
        <f t="shared" si="20"/>
        <v>5.1599018856094657E-2</v>
      </c>
      <c r="M259" s="6">
        <f t="shared" si="21"/>
        <v>9.6674876847290647E-2</v>
      </c>
      <c r="N259" s="7">
        <f t="shared" si="22"/>
        <v>429.14061790782824</v>
      </c>
      <c r="O259" s="8">
        <f t="shared" si="23"/>
        <v>1.356609195402299E-2</v>
      </c>
      <c r="P259" s="8">
        <f t="shared" si="24"/>
        <v>0.14032696390658175</v>
      </c>
    </row>
    <row r="260" spans="1:16" x14ac:dyDescent="0.35">
      <c r="A260" s="1">
        <v>5258</v>
      </c>
      <c r="B260" s="1" t="s">
        <v>106</v>
      </c>
      <c r="C260" s="1" t="s">
        <v>22</v>
      </c>
      <c r="D260" s="1" t="s">
        <v>23</v>
      </c>
      <c r="E260" s="5">
        <v>45620</v>
      </c>
      <c r="F260" s="5">
        <v>45628</v>
      </c>
      <c r="G260" s="2">
        <v>144.08000000000001</v>
      </c>
      <c r="H260" s="3">
        <v>156610</v>
      </c>
      <c r="I260" s="3">
        <v>8759</v>
      </c>
      <c r="J260" s="3">
        <v>1062</v>
      </c>
      <c r="K260" s="2">
        <v>81837.72</v>
      </c>
      <c r="L260" s="6">
        <f t="shared" si="20"/>
        <v>5.5928740182619244E-2</v>
      </c>
      <c r="M260" s="6">
        <f t="shared" si="21"/>
        <v>0.12124671766183354</v>
      </c>
      <c r="N260" s="7">
        <f t="shared" si="22"/>
        <v>568.00194336479728</v>
      </c>
      <c r="O260" s="8">
        <f t="shared" si="23"/>
        <v>1.6449366366023521E-2</v>
      </c>
      <c r="P260" s="8">
        <f t="shared" si="24"/>
        <v>0.13566854990583804</v>
      </c>
    </row>
    <row r="261" spans="1:16" x14ac:dyDescent="0.35">
      <c r="A261" s="1">
        <v>5259</v>
      </c>
      <c r="B261" s="1" t="s">
        <v>55</v>
      </c>
      <c r="C261" s="1" t="s">
        <v>47</v>
      </c>
      <c r="D261" s="1" t="s">
        <v>38</v>
      </c>
      <c r="E261" s="5">
        <v>45571</v>
      </c>
      <c r="F261" s="5">
        <v>45598</v>
      </c>
      <c r="G261" s="2">
        <v>2389.1999999999998</v>
      </c>
      <c r="H261" s="3">
        <v>482666</v>
      </c>
      <c r="I261" s="3">
        <v>4622</v>
      </c>
      <c r="J261" s="3">
        <v>173</v>
      </c>
      <c r="K261" s="2">
        <v>11494.12</v>
      </c>
      <c r="L261" s="6">
        <f t="shared" si="20"/>
        <v>9.5759800773205488E-3</v>
      </c>
      <c r="M261" s="6">
        <f t="shared" si="21"/>
        <v>3.7429684119428819E-2</v>
      </c>
      <c r="N261" s="7">
        <f t="shared" si="22"/>
        <v>4.8108655616942917</v>
      </c>
      <c r="O261" s="8">
        <f t="shared" si="23"/>
        <v>0.51691908264820419</v>
      </c>
      <c r="P261" s="8">
        <f t="shared" si="24"/>
        <v>13.810404624277455</v>
      </c>
    </row>
    <row r="262" spans="1:16" x14ac:dyDescent="0.35">
      <c r="A262" s="1">
        <v>5260</v>
      </c>
      <c r="B262" s="1" t="s">
        <v>105</v>
      </c>
      <c r="C262" s="1" t="s">
        <v>17</v>
      </c>
      <c r="D262" s="1" t="s">
        <v>38</v>
      </c>
      <c r="E262" s="5">
        <v>45444</v>
      </c>
      <c r="F262" s="5">
        <v>45477</v>
      </c>
      <c r="G262" s="2">
        <v>5583.86</v>
      </c>
      <c r="H262" s="3">
        <v>388848</v>
      </c>
      <c r="I262" s="3">
        <v>11309</v>
      </c>
      <c r="J262" s="3">
        <v>137</v>
      </c>
      <c r="K262" s="2">
        <v>4541.55</v>
      </c>
      <c r="L262" s="6">
        <f t="shared" si="20"/>
        <v>2.9083343620129203E-2</v>
      </c>
      <c r="M262" s="6">
        <f t="shared" si="21"/>
        <v>1.2114245291360863E-2</v>
      </c>
      <c r="N262" s="7">
        <f t="shared" si="22"/>
        <v>0.81333521972255762</v>
      </c>
      <c r="O262" s="8">
        <f t="shared" si="23"/>
        <v>0.49375364753735962</v>
      </c>
      <c r="P262" s="8">
        <f t="shared" si="24"/>
        <v>40.75810218978102</v>
      </c>
    </row>
    <row r="263" spans="1:16" x14ac:dyDescent="0.35">
      <c r="A263" s="1">
        <v>5261</v>
      </c>
      <c r="B263" s="1" t="s">
        <v>79</v>
      </c>
      <c r="C263" s="1" t="s">
        <v>28</v>
      </c>
      <c r="D263" s="1" t="s">
        <v>20</v>
      </c>
      <c r="E263" s="5">
        <v>45658</v>
      </c>
      <c r="F263" s="5">
        <v>45688</v>
      </c>
      <c r="G263" s="2">
        <v>898.12</v>
      </c>
      <c r="H263" s="3">
        <v>98155</v>
      </c>
      <c r="I263" s="3">
        <v>6669</v>
      </c>
      <c r="J263" s="3">
        <v>267</v>
      </c>
      <c r="K263" s="2">
        <v>10621.26</v>
      </c>
      <c r="L263" s="6">
        <f t="shared" si="20"/>
        <v>6.7943558657225817E-2</v>
      </c>
      <c r="M263" s="6">
        <f t="shared" si="21"/>
        <v>4.003598740440846E-2</v>
      </c>
      <c r="N263" s="7">
        <f t="shared" si="22"/>
        <v>11.826103416024585</v>
      </c>
      <c r="O263" s="8">
        <f t="shared" si="23"/>
        <v>0.13467086519718099</v>
      </c>
      <c r="P263" s="8">
        <f t="shared" si="24"/>
        <v>3.36374531835206</v>
      </c>
    </row>
    <row r="264" spans="1:16" x14ac:dyDescent="0.35">
      <c r="A264" s="1">
        <v>5262</v>
      </c>
      <c r="B264" s="1" t="s">
        <v>131</v>
      </c>
      <c r="C264" s="1" t="s">
        <v>25</v>
      </c>
      <c r="D264" s="1" t="s">
        <v>26</v>
      </c>
      <c r="E264" s="5">
        <v>45491</v>
      </c>
      <c r="F264" s="5">
        <v>45522</v>
      </c>
      <c r="G264" s="2">
        <v>2557.41</v>
      </c>
      <c r="H264" s="3">
        <v>405295</v>
      </c>
      <c r="I264" s="3">
        <v>19110</v>
      </c>
      <c r="J264" s="3">
        <v>1430</v>
      </c>
      <c r="K264" s="2">
        <v>124996.3</v>
      </c>
      <c r="L264" s="6">
        <f t="shared" si="20"/>
        <v>4.7150840745629724E-2</v>
      </c>
      <c r="M264" s="6">
        <f t="shared" si="21"/>
        <v>7.4829931972789115E-2</v>
      </c>
      <c r="N264" s="7">
        <f t="shared" si="22"/>
        <v>48.876128583215056</v>
      </c>
      <c r="O264" s="8">
        <f t="shared" si="23"/>
        <v>0.13382574568288852</v>
      </c>
      <c r="P264" s="8">
        <f t="shared" si="24"/>
        <v>1.7883986013986013</v>
      </c>
    </row>
    <row r="265" spans="1:16" x14ac:dyDescent="0.35">
      <c r="A265" s="1">
        <v>5263</v>
      </c>
      <c r="B265" s="1" t="s">
        <v>141</v>
      </c>
      <c r="C265" s="1" t="s">
        <v>47</v>
      </c>
      <c r="D265" s="1" t="s">
        <v>18</v>
      </c>
      <c r="E265" s="5">
        <v>45753</v>
      </c>
      <c r="F265" s="5">
        <v>45766</v>
      </c>
      <c r="G265" s="2">
        <v>4600.88</v>
      </c>
      <c r="H265" s="3">
        <v>492073</v>
      </c>
      <c r="I265" s="3">
        <v>6076</v>
      </c>
      <c r="J265" s="3">
        <v>322</v>
      </c>
      <c r="K265" s="2">
        <v>21747.88</v>
      </c>
      <c r="L265" s="6">
        <f t="shared" si="20"/>
        <v>1.2347761409384379E-2</v>
      </c>
      <c r="M265" s="6">
        <f t="shared" si="21"/>
        <v>5.2995391705069124E-2</v>
      </c>
      <c r="N265" s="7">
        <f t="shared" si="22"/>
        <v>4.726895724296222</v>
      </c>
      <c r="O265" s="8">
        <f t="shared" si="23"/>
        <v>0.75722185648452933</v>
      </c>
      <c r="P265" s="8">
        <f t="shared" si="24"/>
        <v>14.288447204968945</v>
      </c>
    </row>
    <row r="266" spans="1:16" x14ac:dyDescent="0.35">
      <c r="A266" s="1">
        <v>5264</v>
      </c>
      <c r="B266" s="1" t="s">
        <v>142</v>
      </c>
      <c r="C266" s="1" t="s">
        <v>41</v>
      </c>
      <c r="D266" s="1" t="s">
        <v>18</v>
      </c>
      <c r="E266" s="5">
        <v>45609</v>
      </c>
      <c r="F266" s="5">
        <v>45648</v>
      </c>
      <c r="G266" s="2">
        <v>2208.31</v>
      </c>
      <c r="H266" s="3">
        <v>403713</v>
      </c>
      <c r="I266" s="3">
        <v>8299</v>
      </c>
      <c r="J266" s="3">
        <v>87</v>
      </c>
      <c r="K266" s="2">
        <v>4573.59</v>
      </c>
      <c r="L266" s="6">
        <f t="shared" si="20"/>
        <v>2.0556682593822838E-2</v>
      </c>
      <c r="M266" s="6">
        <f t="shared" si="21"/>
        <v>1.0483190745872997E-2</v>
      </c>
      <c r="N266" s="7">
        <f t="shared" si="22"/>
        <v>2.0710815057668537</v>
      </c>
      <c r="O266" s="8">
        <f t="shared" si="23"/>
        <v>0.26609350524159536</v>
      </c>
      <c r="P266" s="8">
        <f t="shared" si="24"/>
        <v>25.382873563218389</v>
      </c>
    </row>
    <row r="267" spans="1:16" x14ac:dyDescent="0.35">
      <c r="A267" s="1">
        <v>5265</v>
      </c>
      <c r="B267" s="1" t="s">
        <v>58</v>
      </c>
      <c r="C267" s="1" t="s">
        <v>17</v>
      </c>
      <c r="D267" s="1" t="s">
        <v>38</v>
      </c>
      <c r="E267" s="5">
        <v>45769</v>
      </c>
      <c r="F267" s="5">
        <v>45788</v>
      </c>
      <c r="G267" s="2">
        <v>3990.65</v>
      </c>
      <c r="H267" s="3">
        <v>440469</v>
      </c>
      <c r="I267" s="3">
        <v>3478</v>
      </c>
      <c r="J267" s="3">
        <v>45</v>
      </c>
      <c r="K267" s="2">
        <v>1382.4</v>
      </c>
      <c r="L267" s="6">
        <f t="shared" si="20"/>
        <v>7.8961288989690542E-3</v>
      </c>
      <c r="M267" s="6">
        <f t="shared" si="21"/>
        <v>1.2938470385278896E-2</v>
      </c>
      <c r="N267" s="7">
        <f t="shared" si="22"/>
        <v>0.34640973275030384</v>
      </c>
      <c r="O267" s="8">
        <f t="shared" si="23"/>
        <v>1.1473979298447383</v>
      </c>
      <c r="P267" s="8">
        <f t="shared" si="24"/>
        <v>88.681111111111107</v>
      </c>
    </row>
    <row r="268" spans="1:16" x14ac:dyDescent="0.35">
      <c r="A268" s="1">
        <v>5266</v>
      </c>
      <c r="B268" s="1" t="s">
        <v>105</v>
      </c>
      <c r="C268" s="1" t="s">
        <v>17</v>
      </c>
      <c r="D268" s="1" t="s">
        <v>38</v>
      </c>
      <c r="E268" s="5">
        <v>45552</v>
      </c>
      <c r="F268" s="5">
        <v>45579</v>
      </c>
      <c r="G268" s="2">
        <v>3352.85</v>
      </c>
      <c r="H268" s="3">
        <v>250962</v>
      </c>
      <c r="I268" s="3">
        <v>2585</v>
      </c>
      <c r="J268" s="3">
        <v>68</v>
      </c>
      <c r="K268" s="2">
        <v>4919.12</v>
      </c>
      <c r="L268" s="6">
        <f t="shared" si="20"/>
        <v>1.0300364198563927E-2</v>
      </c>
      <c r="M268" s="6">
        <f t="shared" si="21"/>
        <v>2.630560928433269E-2</v>
      </c>
      <c r="N268" s="7">
        <f t="shared" si="22"/>
        <v>1.467145860983939</v>
      </c>
      <c r="O268" s="8">
        <f t="shared" si="23"/>
        <v>1.2970406189555126</v>
      </c>
      <c r="P268" s="8">
        <f t="shared" si="24"/>
        <v>49.306617647058822</v>
      </c>
    </row>
    <row r="269" spans="1:16" x14ac:dyDescent="0.35">
      <c r="A269" s="1">
        <v>5267</v>
      </c>
      <c r="B269" s="1" t="s">
        <v>36</v>
      </c>
      <c r="C269" s="1" t="s">
        <v>37</v>
      </c>
      <c r="D269" s="1" t="s">
        <v>18</v>
      </c>
      <c r="E269" s="5">
        <v>45580</v>
      </c>
      <c r="F269" s="5">
        <v>45615</v>
      </c>
      <c r="G269" s="2">
        <v>5386.85</v>
      </c>
      <c r="H269" s="3">
        <v>180464</v>
      </c>
      <c r="I269" s="3">
        <v>1907</v>
      </c>
      <c r="J269" s="3">
        <v>65</v>
      </c>
      <c r="K269" s="2">
        <v>5570.5</v>
      </c>
      <c r="L269" s="6">
        <f t="shared" si="20"/>
        <v>1.0567204539409522E-2</v>
      </c>
      <c r="M269" s="6">
        <f t="shared" si="21"/>
        <v>3.408495018353435E-2</v>
      </c>
      <c r="N269" s="7">
        <f t="shared" si="22"/>
        <v>1.0340922802751142</v>
      </c>
      <c r="O269" s="8">
        <f t="shared" si="23"/>
        <v>2.824777136864185</v>
      </c>
      <c r="P269" s="8">
        <f t="shared" si="24"/>
        <v>82.874615384615396</v>
      </c>
    </row>
    <row r="270" spans="1:16" x14ac:dyDescent="0.35">
      <c r="A270" s="1">
        <v>5268</v>
      </c>
      <c r="B270" s="1" t="s">
        <v>132</v>
      </c>
      <c r="C270" s="1" t="s">
        <v>25</v>
      </c>
      <c r="D270" s="1" t="s">
        <v>18</v>
      </c>
      <c r="E270" s="5">
        <v>45715</v>
      </c>
      <c r="F270" s="5">
        <v>45726</v>
      </c>
      <c r="G270" s="2">
        <v>1042.76</v>
      </c>
      <c r="H270" s="3">
        <v>318887</v>
      </c>
      <c r="I270" s="3">
        <v>11532</v>
      </c>
      <c r="J270" s="3">
        <v>513</v>
      </c>
      <c r="K270" s="2">
        <v>28574.1</v>
      </c>
      <c r="L270" s="6">
        <f t="shared" si="20"/>
        <v>3.6163280409674897E-2</v>
      </c>
      <c r="M270" s="6">
        <f t="shared" si="21"/>
        <v>4.4484911550468263E-2</v>
      </c>
      <c r="N270" s="7">
        <f t="shared" si="22"/>
        <v>27.402374467758641</v>
      </c>
      <c r="O270" s="8">
        <f t="shared" si="23"/>
        <v>9.0423170308706211E-2</v>
      </c>
      <c r="P270" s="8">
        <f t="shared" si="24"/>
        <v>2.0326705653021442</v>
      </c>
    </row>
    <row r="271" spans="1:16" x14ac:dyDescent="0.35">
      <c r="A271" s="1">
        <v>5269</v>
      </c>
      <c r="B271" s="1" t="s">
        <v>46</v>
      </c>
      <c r="C271" s="1" t="s">
        <v>47</v>
      </c>
      <c r="D271" s="1" t="s">
        <v>23</v>
      </c>
      <c r="E271" s="5">
        <v>45455</v>
      </c>
      <c r="F271" s="5">
        <v>45458</v>
      </c>
      <c r="G271" s="2">
        <v>4035.4</v>
      </c>
      <c r="H271" s="3">
        <v>359021</v>
      </c>
      <c r="I271" s="3">
        <v>12235</v>
      </c>
      <c r="J271" s="3">
        <v>454</v>
      </c>
      <c r="K271" s="2">
        <v>12811.88</v>
      </c>
      <c r="L271" s="6">
        <f t="shared" si="20"/>
        <v>3.4078786477671222E-2</v>
      </c>
      <c r="M271" s="6">
        <f t="shared" si="21"/>
        <v>3.7106661217817735E-2</v>
      </c>
      <c r="N271" s="7">
        <f t="shared" si="22"/>
        <v>3.1748723794419385</v>
      </c>
      <c r="O271" s="8">
        <f t="shared" si="23"/>
        <v>0.3298242746219861</v>
      </c>
      <c r="P271" s="8">
        <f t="shared" si="24"/>
        <v>8.8885462555066077</v>
      </c>
    </row>
    <row r="272" spans="1:16" x14ac:dyDescent="0.35">
      <c r="A272" s="1">
        <v>5270</v>
      </c>
      <c r="B272" s="1" t="s">
        <v>71</v>
      </c>
      <c r="C272" s="1" t="s">
        <v>47</v>
      </c>
      <c r="D272" s="1" t="s">
        <v>38</v>
      </c>
      <c r="E272" s="5">
        <v>45751</v>
      </c>
      <c r="F272" s="5">
        <v>45756</v>
      </c>
      <c r="G272" s="2">
        <v>196.06</v>
      </c>
      <c r="H272" s="3">
        <v>22745</v>
      </c>
      <c r="I272" s="3">
        <v>229</v>
      </c>
      <c r="J272" s="3">
        <v>9</v>
      </c>
      <c r="K272" s="2">
        <v>718.83</v>
      </c>
      <c r="L272" s="6">
        <f t="shared" si="20"/>
        <v>1.006814684546054E-2</v>
      </c>
      <c r="M272" s="6">
        <f t="shared" si="21"/>
        <v>3.9301310043668124E-2</v>
      </c>
      <c r="N272" s="7">
        <f t="shared" si="22"/>
        <v>3.6663776394981129</v>
      </c>
      <c r="O272" s="8">
        <f t="shared" si="23"/>
        <v>0.85615720524017469</v>
      </c>
      <c r="P272" s="8">
        <f t="shared" si="24"/>
        <v>21.784444444444446</v>
      </c>
    </row>
    <row r="273" spans="1:16" x14ac:dyDescent="0.35">
      <c r="A273" s="1">
        <v>5271</v>
      </c>
      <c r="B273" s="1" t="s">
        <v>138</v>
      </c>
      <c r="C273" s="1" t="s">
        <v>47</v>
      </c>
      <c r="D273" s="1" t="s">
        <v>18</v>
      </c>
      <c r="E273" s="5">
        <v>45534</v>
      </c>
      <c r="F273" s="5">
        <v>45542</v>
      </c>
      <c r="G273" s="2">
        <v>1446.5</v>
      </c>
      <c r="H273" s="3">
        <v>294602</v>
      </c>
      <c r="I273" s="3">
        <v>4931</v>
      </c>
      <c r="J273" s="3">
        <v>123</v>
      </c>
      <c r="K273" s="2">
        <v>4918.7700000000004</v>
      </c>
      <c r="L273" s="6">
        <f t="shared" si="20"/>
        <v>1.6737836131458714E-2</v>
      </c>
      <c r="M273" s="6">
        <f t="shared" si="21"/>
        <v>2.494423037923342E-2</v>
      </c>
      <c r="N273" s="7">
        <f t="shared" si="22"/>
        <v>3.4004631870031115</v>
      </c>
      <c r="O273" s="8">
        <f t="shared" si="23"/>
        <v>0.2933482052322044</v>
      </c>
      <c r="P273" s="8">
        <f t="shared" si="24"/>
        <v>11.760162601626016</v>
      </c>
    </row>
    <row r="274" spans="1:16" x14ac:dyDescent="0.35">
      <c r="A274" s="1">
        <v>5272</v>
      </c>
      <c r="B274" s="1" t="s">
        <v>45</v>
      </c>
      <c r="C274" s="1" t="s">
        <v>41</v>
      </c>
      <c r="D274" s="1" t="s">
        <v>23</v>
      </c>
      <c r="E274" s="5">
        <v>45772</v>
      </c>
      <c r="F274" s="5">
        <v>45808</v>
      </c>
      <c r="G274" s="2">
        <v>1049.51</v>
      </c>
      <c r="H274" s="3">
        <v>334238</v>
      </c>
      <c r="I274" s="3">
        <v>9371</v>
      </c>
      <c r="J274" s="3">
        <v>225</v>
      </c>
      <c r="K274" s="2">
        <v>7749</v>
      </c>
      <c r="L274" s="6">
        <f t="shared" si="20"/>
        <v>2.8036907832143562E-2</v>
      </c>
      <c r="M274" s="6">
        <f t="shared" si="21"/>
        <v>2.4010244370931598E-2</v>
      </c>
      <c r="N274" s="7">
        <f t="shared" si="22"/>
        <v>7.3834456079503772</v>
      </c>
      <c r="O274" s="8">
        <f t="shared" si="23"/>
        <v>0.11199551808771742</v>
      </c>
      <c r="P274" s="8">
        <f t="shared" si="24"/>
        <v>4.6644888888888891</v>
      </c>
    </row>
    <row r="275" spans="1:16" x14ac:dyDescent="0.35">
      <c r="A275" s="1">
        <v>5273</v>
      </c>
      <c r="B275" s="1" t="s">
        <v>142</v>
      </c>
      <c r="C275" s="1" t="s">
        <v>41</v>
      </c>
      <c r="D275" s="1" t="s">
        <v>20</v>
      </c>
      <c r="E275" s="5">
        <v>45626</v>
      </c>
      <c r="F275" s="5">
        <v>45653</v>
      </c>
      <c r="G275" s="2">
        <v>2538.0100000000002</v>
      </c>
      <c r="H275" s="3">
        <v>302144</v>
      </c>
      <c r="I275" s="3">
        <v>7256</v>
      </c>
      <c r="J275" s="3">
        <v>84</v>
      </c>
      <c r="K275" s="2">
        <v>1454.04</v>
      </c>
      <c r="L275" s="6">
        <f t="shared" si="20"/>
        <v>2.4015039186613005E-2</v>
      </c>
      <c r="M275" s="6">
        <f t="shared" si="21"/>
        <v>1.1576626240352812E-2</v>
      </c>
      <c r="N275" s="7">
        <f t="shared" si="22"/>
        <v>0.57290554410739114</v>
      </c>
      <c r="O275" s="8">
        <f t="shared" si="23"/>
        <v>0.34978087100330763</v>
      </c>
      <c r="P275" s="8">
        <f t="shared" si="24"/>
        <v>30.214404761904763</v>
      </c>
    </row>
    <row r="276" spans="1:16" x14ac:dyDescent="0.35">
      <c r="A276" s="1">
        <v>5274</v>
      </c>
      <c r="B276" s="1" t="s">
        <v>70</v>
      </c>
      <c r="C276" s="1" t="s">
        <v>41</v>
      </c>
      <c r="D276" s="1" t="s">
        <v>18</v>
      </c>
      <c r="E276" s="5">
        <v>45586</v>
      </c>
      <c r="F276" s="5">
        <v>45601</v>
      </c>
      <c r="G276" s="2">
        <v>826.57</v>
      </c>
      <c r="H276" s="3">
        <v>176618</v>
      </c>
      <c r="I276" s="3">
        <v>4304</v>
      </c>
      <c r="J276" s="3">
        <v>59</v>
      </c>
      <c r="K276" s="2">
        <v>1318.65</v>
      </c>
      <c r="L276" s="6">
        <f t="shared" si="20"/>
        <v>2.4368977114450397E-2</v>
      </c>
      <c r="M276" s="6">
        <f t="shared" si="21"/>
        <v>1.3708178438661711E-2</v>
      </c>
      <c r="N276" s="7">
        <f t="shared" si="22"/>
        <v>1.5953276794463869</v>
      </c>
      <c r="O276" s="8">
        <f t="shared" si="23"/>
        <v>0.19204693308550186</v>
      </c>
      <c r="P276" s="8">
        <f t="shared" si="24"/>
        <v>14.009661016949153</v>
      </c>
    </row>
    <row r="277" spans="1:16" x14ac:dyDescent="0.35">
      <c r="A277" s="1">
        <v>5275</v>
      </c>
      <c r="B277" s="1" t="s">
        <v>115</v>
      </c>
      <c r="C277" s="1" t="s">
        <v>47</v>
      </c>
      <c r="D277" s="1" t="s">
        <v>23</v>
      </c>
      <c r="E277" s="5">
        <v>45511</v>
      </c>
      <c r="F277" s="5">
        <v>45540</v>
      </c>
      <c r="G277" s="2">
        <v>4015.55</v>
      </c>
      <c r="H277" s="3">
        <v>354731</v>
      </c>
      <c r="I277" s="3">
        <v>4925</v>
      </c>
      <c r="J277" s="3">
        <v>208</v>
      </c>
      <c r="K277" s="2">
        <v>11519.04</v>
      </c>
      <c r="L277" s="6">
        <f t="shared" si="20"/>
        <v>1.3883759806726787E-2</v>
      </c>
      <c r="M277" s="6">
        <f t="shared" si="21"/>
        <v>4.2233502538071066E-2</v>
      </c>
      <c r="N277" s="7">
        <f t="shared" si="22"/>
        <v>2.8686082852909314</v>
      </c>
      <c r="O277" s="8">
        <f t="shared" si="23"/>
        <v>0.81534010152284264</v>
      </c>
      <c r="P277" s="8">
        <f t="shared" si="24"/>
        <v>19.305528846153848</v>
      </c>
    </row>
    <row r="278" spans="1:16" x14ac:dyDescent="0.35">
      <c r="A278" s="1">
        <v>5276</v>
      </c>
      <c r="B278" s="1" t="s">
        <v>73</v>
      </c>
      <c r="C278" s="1" t="s">
        <v>47</v>
      </c>
      <c r="D278" s="1" t="s">
        <v>26</v>
      </c>
      <c r="E278" s="5">
        <v>45690</v>
      </c>
      <c r="F278" s="5">
        <v>45720</v>
      </c>
      <c r="G278" s="2">
        <v>119.02</v>
      </c>
      <c r="H278" s="3">
        <v>12965</v>
      </c>
      <c r="I278" s="3">
        <v>289</v>
      </c>
      <c r="J278" s="3">
        <v>4</v>
      </c>
      <c r="K278" s="2">
        <v>103.56</v>
      </c>
      <c r="L278" s="6">
        <f t="shared" si="20"/>
        <v>2.2290782876976476E-2</v>
      </c>
      <c r="M278" s="6">
        <f t="shared" si="21"/>
        <v>1.384083044982699E-2</v>
      </c>
      <c r="N278" s="7">
        <f t="shared" si="22"/>
        <v>0.87010586456057815</v>
      </c>
      <c r="O278" s="8">
        <f t="shared" si="23"/>
        <v>0.41183391003460207</v>
      </c>
      <c r="P278" s="8">
        <f t="shared" si="24"/>
        <v>29.754999999999999</v>
      </c>
    </row>
    <row r="279" spans="1:16" x14ac:dyDescent="0.35">
      <c r="A279" s="1">
        <v>5277</v>
      </c>
      <c r="B279" s="1" t="s">
        <v>82</v>
      </c>
      <c r="C279" s="1" t="s">
        <v>37</v>
      </c>
      <c r="D279" s="1" t="s">
        <v>18</v>
      </c>
      <c r="E279" s="5">
        <v>45676</v>
      </c>
      <c r="F279" s="5">
        <v>45715</v>
      </c>
      <c r="G279" s="2">
        <v>16804.45</v>
      </c>
      <c r="H279" s="3">
        <v>490641</v>
      </c>
      <c r="I279" s="3">
        <v>6246</v>
      </c>
      <c r="J279" s="3">
        <v>76</v>
      </c>
      <c r="K279" s="2">
        <v>15780.64</v>
      </c>
      <c r="L279" s="6">
        <f t="shared" si="20"/>
        <v>1.2730285483683589E-2</v>
      </c>
      <c r="M279" s="6">
        <f t="shared" si="21"/>
        <v>1.2167787383925712E-2</v>
      </c>
      <c r="N279" s="7">
        <f t="shared" si="22"/>
        <v>0.93907506642585736</v>
      </c>
      <c r="O279" s="8">
        <f t="shared" si="23"/>
        <v>2.6904338776817163</v>
      </c>
      <c r="P279" s="8">
        <f t="shared" si="24"/>
        <v>221.11118421052632</v>
      </c>
    </row>
    <row r="280" spans="1:16" x14ac:dyDescent="0.35">
      <c r="A280" s="1">
        <v>5278</v>
      </c>
      <c r="B280" s="1" t="s">
        <v>139</v>
      </c>
      <c r="C280" s="1" t="s">
        <v>60</v>
      </c>
      <c r="D280" s="1" t="s">
        <v>18</v>
      </c>
      <c r="E280" s="5">
        <v>45655</v>
      </c>
      <c r="F280" s="5">
        <v>45688</v>
      </c>
      <c r="G280" s="2">
        <v>6907.23</v>
      </c>
      <c r="H280" s="3">
        <v>423237</v>
      </c>
      <c r="I280" s="3">
        <v>5030</v>
      </c>
      <c r="J280" s="3">
        <v>72</v>
      </c>
      <c r="K280" s="2">
        <v>4196.16</v>
      </c>
      <c r="L280" s="6">
        <f t="shared" si="20"/>
        <v>1.1884594210808602E-2</v>
      </c>
      <c r="M280" s="6">
        <f t="shared" si="21"/>
        <v>1.4314115308151094E-2</v>
      </c>
      <c r="N280" s="7">
        <f t="shared" si="22"/>
        <v>0.60750257339049085</v>
      </c>
      <c r="O280" s="8">
        <f t="shared" si="23"/>
        <v>1.3732067594433399</v>
      </c>
      <c r="P280" s="8">
        <f t="shared" si="24"/>
        <v>95.933749999999989</v>
      </c>
    </row>
    <row r="281" spans="1:16" x14ac:dyDescent="0.35">
      <c r="A281" s="1">
        <v>5279</v>
      </c>
      <c r="B281" s="1" t="s">
        <v>29</v>
      </c>
      <c r="C281" s="1" t="s">
        <v>25</v>
      </c>
      <c r="D281" s="1" t="s">
        <v>23</v>
      </c>
      <c r="E281" s="5">
        <v>45657</v>
      </c>
      <c r="F281" s="5">
        <v>45693</v>
      </c>
      <c r="G281" s="2">
        <v>112.45</v>
      </c>
      <c r="H281" s="3">
        <v>19489</v>
      </c>
      <c r="I281" s="3">
        <v>743</v>
      </c>
      <c r="J281" s="3">
        <v>50</v>
      </c>
      <c r="K281" s="2">
        <v>2341</v>
      </c>
      <c r="L281" s="6">
        <f t="shared" si="20"/>
        <v>3.8124069988198471E-2</v>
      </c>
      <c r="M281" s="6">
        <f t="shared" si="21"/>
        <v>6.7294751009421269E-2</v>
      </c>
      <c r="N281" s="7">
        <f t="shared" si="22"/>
        <v>20.818141396176078</v>
      </c>
      <c r="O281" s="8">
        <f t="shared" si="23"/>
        <v>0.15134589502018844</v>
      </c>
      <c r="P281" s="8">
        <f t="shared" si="24"/>
        <v>2.2490000000000001</v>
      </c>
    </row>
    <row r="282" spans="1:16" x14ac:dyDescent="0.35">
      <c r="A282" s="1">
        <v>5280</v>
      </c>
      <c r="B282" s="1" t="s">
        <v>42</v>
      </c>
      <c r="C282" s="1" t="s">
        <v>37</v>
      </c>
      <c r="D282" s="1" t="s">
        <v>38</v>
      </c>
      <c r="E282" s="5">
        <v>45677</v>
      </c>
      <c r="F282" s="5">
        <v>45699</v>
      </c>
      <c r="G282" s="2">
        <v>804.57</v>
      </c>
      <c r="H282" s="3">
        <v>32080</v>
      </c>
      <c r="I282" s="3">
        <v>467</v>
      </c>
      <c r="J282" s="3">
        <v>14</v>
      </c>
      <c r="K282" s="2">
        <v>2244.7600000000002</v>
      </c>
      <c r="L282" s="6">
        <f t="shared" si="20"/>
        <v>1.4557356608478803E-2</v>
      </c>
      <c r="M282" s="6">
        <f t="shared" si="21"/>
        <v>2.9978586723768737E-2</v>
      </c>
      <c r="N282" s="7">
        <f t="shared" si="22"/>
        <v>2.7900120561293611</v>
      </c>
      <c r="O282" s="8">
        <f t="shared" si="23"/>
        <v>1.7228479657387581</v>
      </c>
      <c r="P282" s="8">
        <f t="shared" si="24"/>
        <v>57.469285714285718</v>
      </c>
    </row>
    <row r="283" spans="1:16" x14ac:dyDescent="0.35">
      <c r="A283" s="1">
        <v>5281</v>
      </c>
      <c r="B283" s="1" t="s">
        <v>100</v>
      </c>
      <c r="C283" s="1" t="s">
        <v>17</v>
      </c>
      <c r="D283" s="1" t="s">
        <v>38</v>
      </c>
      <c r="E283" s="5">
        <v>45456</v>
      </c>
      <c r="F283" s="5">
        <v>45496</v>
      </c>
      <c r="G283" s="2">
        <v>1332.48</v>
      </c>
      <c r="H283" s="3">
        <v>239224</v>
      </c>
      <c r="I283" s="3">
        <v>4514</v>
      </c>
      <c r="J283" s="3">
        <v>172</v>
      </c>
      <c r="K283" s="2">
        <v>6794</v>
      </c>
      <c r="L283" s="6">
        <f t="shared" si="20"/>
        <v>1.8869344212955223E-2</v>
      </c>
      <c r="M283" s="6">
        <f t="shared" si="21"/>
        <v>3.8103677447939743E-2</v>
      </c>
      <c r="N283" s="7">
        <f t="shared" si="22"/>
        <v>5.09876320845341</v>
      </c>
      <c r="O283" s="8">
        <f t="shared" si="23"/>
        <v>0.29518830305715554</v>
      </c>
      <c r="P283" s="8">
        <f t="shared" si="24"/>
        <v>7.7469767441860462</v>
      </c>
    </row>
    <row r="284" spans="1:16" x14ac:dyDescent="0.35">
      <c r="A284" s="1">
        <v>5282</v>
      </c>
      <c r="B284" s="1" t="s">
        <v>95</v>
      </c>
      <c r="C284" s="1" t="s">
        <v>60</v>
      </c>
      <c r="D284" s="1" t="s">
        <v>23</v>
      </c>
      <c r="E284" s="5">
        <v>45747</v>
      </c>
      <c r="F284" s="5">
        <v>45758</v>
      </c>
      <c r="G284" s="2">
        <v>5508.98</v>
      </c>
      <c r="H284" s="3">
        <v>353140</v>
      </c>
      <c r="I284" s="3">
        <v>2229</v>
      </c>
      <c r="J284" s="3">
        <v>60</v>
      </c>
      <c r="K284" s="2">
        <v>3031.8</v>
      </c>
      <c r="L284" s="6">
        <f t="shared" si="20"/>
        <v>6.3119442713937815E-3</v>
      </c>
      <c r="M284" s="6">
        <f t="shared" si="21"/>
        <v>2.6917900403768506E-2</v>
      </c>
      <c r="N284" s="7">
        <f t="shared" si="22"/>
        <v>0.55033781208136545</v>
      </c>
      <c r="O284" s="8">
        <f t="shared" si="23"/>
        <v>2.471502916105877</v>
      </c>
      <c r="P284" s="8">
        <f t="shared" si="24"/>
        <v>91.816333333333333</v>
      </c>
    </row>
    <row r="285" spans="1:16" x14ac:dyDescent="0.35">
      <c r="A285" s="1">
        <v>5283</v>
      </c>
      <c r="B285" s="1" t="s">
        <v>115</v>
      </c>
      <c r="C285" s="1" t="s">
        <v>47</v>
      </c>
      <c r="D285" s="1" t="s">
        <v>23</v>
      </c>
      <c r="E285" s="5">
        <v>45726</v>
      </c>
      <c r="F285" s="5">
        <v>45767</v>
      </c>
      <c r="G285" s="2">
        <v>1713.64</v>
      </c>
      <c r="H285" s="3">
        <v>337331</v>
      </c>
      <c r="I285" s="3">
        <v>4716</v>
      </c>
      <c r="J285" s="3">
        <v>222</v>
      </c>
      <c r="K285" s="2">
        <v>8380.5</v>
      </c>
      <c r="L285" s="6">
        <f t="shared" si="20"/>
        <v>1.3980333856064222E-2</v>
      </c>
      <c r="M285" s="6">
        <f t="shared" si="21"/>
        <v>4.7073791348600506E-2</v>
      </c>
      <c r="N285" s="7">
        <f t="shared" si="22"/>
        <v>4.8904670759319337</v>
      </c>
      <c r="O285" s="8">
        <f t="shared" si="23"/>
        <v>0.36336726039016115</v>
      </c>
      <c r="P285" s="8">
        <f t="shared" si="24"/>
        <v>7.7190990990990995</v>
      </c>
    </row>
    <row r="286" spans="1:16" x14ac:dyDescent="0.35">
      <c r="A286" s="1">
        <v>5284</v>
      </c>
      <c r="B286" s="1" t="s">
        <v>39</v>
      </c>
      <c r="C286" s="1" t="s">
        <v>17</v>
      </c>
      <c r="D286" s="1" t="s">
        <v>26</v>
      </c>
      <c r="E286" s="5">
        <v>45627</v>
      </c>
      <c r="F286" s="5">
        <v>45655</v>
      </c>
      <c r="G286" s="2">
        <v>3588.17</v>
      </c>
      <c r="H286" s="3">
        <v>429721</v>
      </c>
      <c r="I286" s="3">
        <v>10661</v>
      </c>
      <c r="J286" s="3">
        <v>180</v>
      </c>
      <c r="K286" s="2">
        <v>6663.6</v>
      </c>
      <c r="L286" s="6">
        <f t="shared" si="20"/>
        <v>2.4809120336218151E-2</v>
      </c>
      <c r="M286" s="6">
        <f t="shared" si="21"/>
        <v>1.6883969608854705E-2</v>
      </c>
      <c r="N286" s="7">
        <f t="shared" si="22"/>
        <v>1.857102645638306</v>
      </c>
      <c r="O286" s="8">
        <f t="shared" si="23"/>
        <v>0.33656974017446767</v>
      </c>
      <c r="P286" s="8">
        <f t="shared" si="24"/>
        <v>19.93427777777778</v>
      </c>
    </row>
    <row r="287" spans="1:16" x14ac:dyDescent="0.35">
      <c r="A287" s="1">
        <v>5285</v>
      </c>
      <c r="B287" s="1" t="s">
        <v>50</v>
      </c>
      <c r="C287" s="1" t="s">
        <v>22</v>
      </c>
      <c r="D287" s="1" t="s">
        <v>38</v>
      </c>
      <c r="E287" s="5">
        <v>45522</v>
      </c>
      <c r="F287" s="5">
        <v>45567</v>
      </c>
      <c r="G287" s="2">
        <v>596.54999999999995</v>
      </c>
      <c r="H287" s="3">
        <v>477240</v>
      </c>
      <c r="I287" s="3">
        <v>20103</v>
      </c>
      <c r="J287" s="3">
        <v>871</v>
      </c>
      <c r="K287" s="2">
        <v>72179.77</v>
      </c>
      <c r="L287" s="6">
        <f t="shared" si="20"/>
        <v>4.2123459894392756E-2</v>
      </c>
      <c r="M287" s="6">
        <f t="shared" si="21"/>
        <v>4.3326866636820373E-2</v>
      </c>
      <c r="N287" s="7">
        <f t="shared" si="22"/>
        <v>120.9953398709245</v>
      </c>
      <c r="O287" s="8">
        <f t="shared" si="23"/>
        <v>2.9674675421578867E-2</v>
      </c>
      <c r="P287" s="8">
        <f t="shared" si="24"/>
        <v>0.68490241102181393</v>
      </c>
    </row>
    <row r="288" spans="1:16" x14ac:dyDescent="0.35">
      <c r="A288" s="1">
        <v>5286</v>
      </c>
      <c r="B288" s="1" t="s">
        <v>77</v>
      </c>
      <c r="C288" s="1" t="s">
        <v>22</v>
      </c>
      <c r="D288" s="1" t="s">
        <v>26</v>
      </c>
      <c r="E288" s="5">
        <v>45678</v>
      </c>
      <c r="F288" s="5">
        <v>45711</v>
      </c>
      <c r="G288" s="2">
        <v>57.87</v>
      </c>
      <c r="H288" s="3">
        <v>109192</v>
      </c>
      <c r="I288" s="3">
        <v>3282</v>
      </c>
      <c r="J288" s="3">
        <v>400</v>
      </c>
      <c r="K288" s="2">
        <v>33520</v>
      </c>
      <c r="L288" s="6">
        <f t="shared" si="20"/>
        <v>3.005714704373947E-2</v>
      </c>
      <c r="M288" s="6">
        <f t="shared" si="21"/>
        <v>0.12187690432663011</v>
      </c>
      <c r="N288" s="7">
        <f t="shared" si="22"/>
        <v>579.22930706756529</v>
      </c>
      <c r="O288" s="8">
        <f t="shared" si="23"/>
        <v>1.763254113345521E-2</v>
      </c>
      <c r="P288" s="8">
        <f t="shared" si="24"/>
        <v>0.144675</v>
      </c>
    </row>
    <row r="289" spans="1:16" x14ac:dyDescent="0.35">
      <c r="A289" s="1">
        <v>5287</v>
      </c>
      <c r="B289" s="1" t="s">
        <v>92</v>
      </c>
      <c r="C289" s="1" t="s">
        <v>25</v>
      </c>
      <c r="D289" s="1" t="s">
        <v>20</v>
      </c>
      <c r="E289" s="5">
        <v>45743</v>
      </c>
      <c r="F289" s="5">
        <v>45761</v>
      </c>
      <c r="G289" s="2">
        <v>510.51</v>
      </c>
      <c r="H289" s="3">
        <v>96142</v>
      </c>
      <c r="I289" s="3">
        <v>2734</v>
      </c>
      <c r="J289" s="3">
        <v>172</v>
      </c>
      <c r="K289" s="2">
        <v>18452.16</v>
      </c>
      <c r="L289" s="6">
        <f t="shared" si="20"/>
        <v>2.8437103451145182E-2</v>
      </c>
      <c r="M289" s="6">
        <f t="shared" si="21"/>
        <v>6.2911485003657647E-2</v>
      </c>
      <c r="N289" s="7">
        <f t="shared" si="22"/>
        <v>36.144561321031908</v>
      </c>
      <c r="O289" s="8">
        <f t="shared" si="23"/>
        <v>0.18672640819312364</v>
      </c>
      <c r="P289" s="8">
        <f t="shared" si="24"/>
        <v>2.968081395348837</v>
      </c>
    </row>
    <row r="290" spans="1:16" x14ac:dyDescent="0.35">
      <c r="A290" s="1">
        <v>5288</v>
      </c>
      <c r="B290" s="1" t="s">
        <v>130</v>
      </c>
      <c r="C290" s="1" t="s">
        <v>41</v>
      </c>
      <c r="D290" s="1" t="s">
        <v>23</v>
      </c>
      <c r="E290" s="5">
        <v>45536</v>
      </c>
      <c r="F290" s="5">
        <v>45559</v>
      </c>
      <c r="G290" s="2">
        <v>1470.85</v>
      </c>
      <c r="H290" s="3">
        <v>459642</v>
      </c>
      <c r="I290" s="3">
        <v>11433</v>
      </c>
      <c r="J290" s="3">
        <v>163</v>
      </c>
      <c r="K290" s="2">
        <v>4806.87</v>
      </c>
      <c r="L290" s="6">
        <f t="shared" si="20"/>
        <v>2.4873706058193116E-2</v>
      </c>
      <c r="M290" s="6">
        <f t="shared" si="21"/>
        <v>1.4256975422023966E-2</v>
      </c>
      <c r="N290" s="7">
        <f t="shared" si="22"/>
        <v>3.26808988000136</v>
      </c>
      <c r="O290" s="8">
        <f t="shared" si="23"/>
        <v>0.12864952330971749</v>
      </c>
      <c r="P290" s="8">
        <f t="shared" si="24"/>
        <v>9.0236196319018394</v>
      </c>
    </row>
    <row r="291" spans="1:16" x14ac:dyDescent="0.35">
      <c r="A291" s="1">
        <v>5289</v>
      </c>
      <c r="B291" s="1" t="s">
        <v>109</v>
      </c>
      <c r="C291" s="1" t="s">
        <v>28</v>
      </c>
      <c r="D291" s="1" t="s">
        <v>23</v>
      </c>
      <c r="E291" s="5">
        <v>45563</v>
      </c>
      <c r="F291" s="5">
        <v>45588</v>
      </c>
      <c r="G291" s="2">
        <v>6751.07</v>
      </c>
      <c r="H291" s="3">
        <v>291120</v>
      </c>
      <c r="I291" s="3">
        <v>22647</v>
      </c>
      <c r="J291" s="3">
        <v>1068</v>
      </c>
      <c r="K291" s="2">
        <v>67017</v>
      </c>
      <c r="L291" s="6">
        <f t="shared" si="20"/>
        <v>7.7792662819455891E-2</v>
      </c>
      <c r="M291" s="6">
        <f t="shared" si="21"/>
        <v>4.7158564048218304E-2</v>
      </c>
      <c r="N291" s="7">
        <f t="shared" si="22"/>
        <v>9.9268708515835264</v>
      </c>
      <c r="O291" s="8">
        <f t="shared" si="23"/>
        <v>0.29809996909082881</v>
      </c>
      <c r="P291" s="8">
        <f t="shared" si="24"/>
        <v>6.3212265917602997</v>
      </c>
    </row>
    <row r="292" spans="1:16" x14ac:dyDescent="0.35">
      <c r="A292" s="1">
        <v>5290</v>
      </c>
      <c r="B292" s="1" t="s">
        <v>24</v>
      </c>
      <c r="C292" s="1" t="s">
        <v>25</v>
      </c>
      <c r="D292" s="1" t="s">
        <v>20</v>
      </c>
      <c r="E292" s="5">
        <v>45784</v>
      </c>
      <c r="F292" s="5">
        <v>45811</v>
      </c>
      <c r="G292" s="2">
        <v>1041.3800000000001</v>
      </c>
      <c r="H292" s="3">
        <v>191431</v>
      </c>
      <c r="I292" s="3">
        <v>4222</v>
      </c>
      <c r="J292" s="3">
        <v>86</v>
      </c>
      <c r="K292" s="2">
        <v>8458.9599999999991</v>
      </c>
      <c r="L292" s="6">
        <f t="shared" si="20"/>
        <v>2.2054944079067655E-2</v>
      </c>
      <c r="M292" s="6">
        <f t="shared" si="21"/>
        <v>2.0369493131217432E-2</v>
      </c>
      <c r="N292" s="7">
        <f t="shared" si="22"/>
        <v>8.1228370047437046</v>
      </c>
      <c r="O292" s="8">
        <f t="shared" si="23"/>
        <v>0.24665561345333967</v>
      </c>
      <c r="P292" s="8">
        <f t="shared" si="24"/>
        <v>12.109069767441861</v>
      </c>
    </row>
    <row r="293" spans="1:16" x14ac:dyDescent="0.35">
      <c r="A293" s="1">
        <v>5291</v>
      </c>
      <c r="B293" s="1" t="s">
        <v>88</v>
      </c>
      <c r="C293" s="1" t="s">
        <v>60</v>
      </c>
      <c r="D293" s="1" t="s">
        <v>20</v>
      </c>
      <c r="E293" s="5">
        <v>45500</v>
      </c>
      <c r="F293" s="5">
        <v>45542</v>
      </c>
      <c r="G293" s="2">
        <v>2033.02</v>
      </c>
      <c r="H293" s="3">
        <v>304344</v>
      </c>
      <c r="I293" s="3">
        <v>3025</v>
      </c>
      <c r="J293" s="3">
        <v>45</v>
      </c>
      <c r="K293" s="2">
        <v>1942.2</v>
      </c>
      <c r="L293" s="6">
        <f t="shared" si="20"/>
        <v>9.9394106668769557E-3</v>
      </c>
      <c r="M293" s="6">
        <f t="shared" si="21"/>
        <v>1.487603305785124E-2</v>
      </c>
      <c r="N293" s="7">
        <f t="shared" si="22"/>
        <v>0.95532754227700667</v>
      </c>
      <c r="O293" s="8">
        <f t="shared" si="23"/>
        <v>0.67207272727272727</v>
      </c>
      <c r="P293" s="8">
        <f t="shared" si="24"/>
        <v>45.178222222222225</v>
      </c>
    </row>
    <row r="294" spans="1:16" x14ac:dyDescent="0.35">
      <c r="A294" s="1">
        <v>5292</v>
      </c>
      <c r="B294" s="1" t="s">
        <v>130</v>
      </c>
      <c r="C294" s="1" t="s">
        <v>41</v>
      </c>
      <c r="D294" s="1" t="s">
        <v>38</v>
      </c>
      <c r="E294" s="5">
        <v>45821</v>
      </c>
      <c r="F294" s="5">
        <v>45848</v>
      </c>
      <c r="G294" s="2">
        <v>1460.06</v>
      </c>
      <c r="H294" s="3">
        <v>189127</v>
      </c>
      <c r="I294" s="3">
        <v>3956</v>
      </c>
      <c r="J294" s="3">
        <v>81</v>
      </c>
      <c r="K294" s="2">
        <v>1366.47</v>
      </c>
      <c r="L294" s="6">
        <f t="shared" si="20"/>
        <v>2.0917161484082125E-2</v>
      </c>
      <c r="M294" s="6">
        <f t="shared" si="21"/>
        <v>2.0475227502527806E-2</v>
      </c>
      <c r="N294" s="7">
        <f t="shared" si="22"/>
        <v>0.93589989452488265</v>
      </c>
      <c r="O294" s="8">
        <f t="shared" si="23"/>
        <v>0.36907482305358946</v>
      </c>
      <c r="P294" s="8">
        <f t="shared" si="24"/>
        <v>18.025432098765432</v>
      </c>
    </row>
    <row r="295" spans="1:16" x14ac:dyDescent="0.35">
      <c r="A295" s="1">
        <v>5293</v>
      </c>
      <c r="B295" s="1" t="s">
        <v>71</v>
      </c>
      <c r="C295" s="1" t="s">
        <v>47</v>
      </c>
      <c r="D295" s="1" t="s">
        <v>20</v>
      </c>
      <c r="E295" s="5">
        <v>45555</v>
      </c>
      <c r="F295" s="5">
        <v>45561</v>
      </c>
      <c r="G295" s="2">
        <v>245.79</v>
      </c>
      <c r="H295" s="3">
        <v>20794</v>
      </c>
      <c r="I295" s="3">
        <v>529</v>
      </c>
      <c r="J295" s="3">
        <v>20</v>
      </c>
      <c r="K295" s="2">
        <v>953.2</v>
      </c>
      <c r="L295" s="6">
        <f t="shared" si="20"/>
        <v>2.5440030778109069E-2</v>
      </c>
      <c r="M295" s="6">
        <f t="shared" si="21"/>
        <v>3.780718336483932E-2</v>
      </c>
      <c r="N295" s="7">
        <f t="shared" si="22"/>
        <v>3.8781073273933035</v>
      </c>
      <c r="O295" s="8">
        <f t="shared" si="23"/>
        <v>0.46463137996219278</v>
      </c>
      <c r="P295" s="8">
        <f t="shared" si="24"/>
        <v>12.2895</v>
      </c>
    </row>
    <row r="296" spans="1:16" x14ac:dyDescent="0.35">
      <c r="A296" s="1">
        <v>5294</v>
      </c>
      <c r="B296" s="1" t="s">
        <v>70</v>
      </c>
      <c r="C296" s="1" t="s">
        <v>41</v>
      </c>
      <c r="D296" s="1" t="s">
        <v>18</v>
      </c>
      <c r="E296" s="5">
        <v>45569</v>
      </c>
      <c r="F296" s="5">
        <v>45598</v>
      </c>
      <c r="G296" s="2">
        <v>2082.0500000000002</v>
      </c>
      <c r="H296" s="3">
        <v>360217</v>
      </c>
      <c r="I296" s="3">
        <v>7553</v>
      </c>
      <c r="J296" s="3">
        <v>196</v>
      </c>
      <c r="K296" s="2">
        <v>4760.84</v>
      </c>
      <c r="L296" s="6">
        <f t="shared" si="20"/>
        <v>2.0967916561406043E-2</v>
      </c>
      <c r="M296" s="6">
        <f t="shared" si="21"/>
        <v>2.5949953660797033E-2</v>
      </c>
      <c r="N296" s="7">
        <f t="shared" si="22"/>
        <v>2.2866117528397489</v>
      </c>
      <c r="O296" s="8">
        <f t="shared" si="23"/>
        <v>0.27565867867072691</v>
      </c>
      <c r="P296" s="8">
        <f t="shared" si="24"/>
        <v>10.622704081632653</v>
      </c>
    </row>
    <row r="297" spans="1:16" x14ac:dyDescent="0.35">
      <c r="A297" s="1">
        <v>5295</v>
      </c>
      <c r="B297" s="1" t="s">
        <v>111</v>
      </c>
      <c r="C297" s="1" t="s">
        <v>25</v>
      </c>
      <c r="D297" s="1" t="s">
        <v>38</v>
      </c>
      <c r="E297" s="5">
        <v>45519</v>
      </c>
      <c r="F297" s="5">
        <v>45559</v>
      </c>
      <c r="G297" s="2">
        <v>426.64</v>
      </c>
      <c r="H297" s="3">
        <v>186306</v>
      </c>
      <c r="I297" s="3">
        <v>5968</v>
      </c>
      <c r="J297" s="3">
        <v>297</v>
      </c>
      <c r="K297" s="2">
        <v>22720.5</v>
      </c>
      <c r="L297" s="6">
        <f t="shared" si="20"/>
        <v>3.2033321524803281E-2</v>
      </c>
      <c r="M297" s="6">
        <f t="shared" si="21"/>
        <v>4.9765415549597854E-2</v>
      </c>
      <c r="N297" s="7">
        <f t="shared" si="22"/>
        <v>53.254500281267582</v>
      </c>
      <c r="O297" s="8">
        <f t="shared" si="23"/>
        <v>7.1487935656836463E-2</v>
      </c>
      <c r="P297" s="8">
        <f t="shared" si="24"/>
        <v>1.4364983164983165</v>
      </c>
    </row>
    <row r="298" spans="1:16" x14ac:dyDescent="0.35">
      <c r="A298" s="1">
        <v>5296</v>
      </c>
      <c r="B298" s="1" t="s">
        <v>115</v>
      </c>
      <c r="C298" s="1" t="s">
        <v>47</v>
      </c>
      <c r="D298" s="1" t="s">
        <v>18</v>
      </c>
      <c r="E298" s="5">
        <v>45524</v>
      </c>
      <c r="F298" s="5">
        <v>45556</v>
      </c>
      <c r="G298" s="2">
        <v>2580.81</v>
      </c>
      <c r="H298" s="3">
        <v>415590</v>
      </c>
      <c r="I298" s="3">
        <v>6180</v>
      </c>
      <c r="J298" s="3">
        <v>286</v>
      </c>
      <c r="K298" s="2">
        <v>22611.16</v>
      </c>
      <c r="L298" s="6">
        <f t="shared" si="20"/>
        <v>1.4870425178661661E-2</v>
      </c>
      <c r="M298" s="6">
        <f t="shared" si="21"/>
        <v>4.6278317152103558E-2</v>
      </c>
      <c r="N298" s="7">
        <f t="shared" si="22"/>
        <v>8.7612648742061605</v>
      </c>
      <c r="O298" s="8">
        <f t="shared" si="23"/>
        <v>0.41760679611650486</v>
      </c>
      <c r="P298" s="8">
        <f t="shared" si="24"/>
        <v>9.0238111888111892</v>
      </c>
    </row>
    <row r="299" spans="1:16" x14ac:dyDescent="0.35">
      <c r="A299" s="1">
        <v>5297</v>
      </c>
      <c r="B299" s="1" t="s">
        <v>21</v>
      </c>
      <c r="C299" s="1" t="s">
        <v>22</v>
      </c>
      <c r="D299" s="1" t="s">
        <v>26</v>
      </c>
      <c r="E299" s="5">
        <v>45541</v>
      </c>
      <c r="F299" s="5">
        <v>45549</v>
      </c>
      <c r="G299" s="2">
        <v>101.81</v>
      </c>
      <c r="H299" s="3">
        <v>199620</v>
      </c>
      <c r="I299" s="3">
        <v>11486</v>
      </c>
      <c r="J299" s="3">
        <v>678</v>
      </c>
      <c r="K299" s="2">
        <v>26530.14</v>
      </c>
      <c r="L299" s="6">
        <f t="shared" si="20"/>
        <v>5.7539324716962229E-2</v>
      </c>
      <c r="M299" s="6">
        <f t="shared" si="21"/>
        <v>5.9028382378547795E-2</v>
      </c>
      <c r="N299" s="7">
        <f t="shared" si="22"/>
        <v>260.58481485119341</v>
      </c>
      <c r="O299" s="8">
        <f t="shared" si="23"/>
        <v>8.8638342329792792E-3</v>
      </c>
      <c r="P299" s="8">
        <f t="shared" si="24"/>
        <v>0.15016224188790561</v>
      </c>
    </row>
    <row r="300" spans="1:16" x14ac:dyDescent="0.35">
      <c r="A300" s="1">
        <v>5298</v>
      </c>
      <c r="B300" s="1" t="s">
        <v>127</v>
      </c>
      <c r="C300" s="1" t="s">
        <v>25</v>
      </c>
      <c r="D300" s="1" t="s">
        <v>20</v>
      </c>
      <c r="E300" s="5">
        <v>45750</v>
      </c>
      <c r="F300" s="5">
        <v>45785</v>
      </c>
      <c r="G300" s="2">
        <v>425.69</v>
      </c>
      <c r="H300" s="3">
        <v>66827</v>
      </c>
      <c r="I300" s="3">
        <v>2034</v>
      </c>
      <c r="J300" s="3">
        <v>41</v>
      </c>
      <c r="K300" s="2">
        <v>1168.0899999999999</v>
      </c>
      <c r="L300" s="6">
        <f t="shared" si="20"/>
        <v>3.0436799497209212E-2</v>
      </c>
      <c r="M300" s="6">
        <f t="shared" si="21"/>
        <v>2.0157325467059981E-2</v>
      </c>
      <c r="N300" s="7">
        <f t="shared" si="22"/>
        <v>2.7439921069322746</v>
      </c>
      <c r="O300" s="8">
        <f t="shared" si="23"/>
        <v>0.20928711897738447</v>
      </c>
      <c r="P300" s="8">
        <f t="shared" si="24"/>
        <v>10.382682926829268</v>
      </c>
    </row>
    <row r="301" spans="1:16" x14ac:dyDescent="0.35">
      <c r="A301" s="1">
        <v>5299</v>
      </c>
      <c r="B301" s="1" t="s">
        <v>68</v>
      </c>
      <c r="C301" s="1" t="s">
        <v>60</v>
      </c>
      <c r="D301" s="1" t="s">
        <v>38</v>
      </c>
      <c r="E301" s="5">
        <v>45770</v>
      </c>
      <c r="F301" s="5">
        <v>45801</v>
      </c>
      <c r="G301" s="2">
        <v>2594.6</v>
      </c>
      <c r="H301" s="3">
        <v>147504</v>
      </c>
      <c r="I301" s="3">
        <v>2598</v>
      </c>
      <c r="J301" s="3">
        <v>36</v>
      </c>
      <c r="K301" s="2">
        <v>1850.04</v>
      </c>
      <c r="L301" s="6">
        <f t="shared" si="20"/>
        <v>1.7613081679140906E-2</v>
      </c>
      <c r="M301" s="6">
        <f t="shared" si="21"/>
        <v>1.3856812933025405E-2</v>
      </c>
      <c r="N301" s="7">
        <f t="shared" si="22"/>
        <v>0.7130347645109073</v>
      </c>
      <c r="O301" s="8">
        <f t="shared" si="23"/>
        <v>0.99869130100076975</v>
      </c>
      <c r="P301" s="8">
        <f t="shared" si="24"/>
        <v>72.072222222222223</v>
      </c>
    </row>
    <row r="302" spans="1:16" x14ac:dyDescent="0.35">
      <c r="A302" s="1">
        <v>5300</v>
      </c>
      <c r="B302" s="1" t="s">
        <v>104</v>
      </c>
      <c r="C302" s="1" t="s">
        <v>60</v>
      </c>
      <c r="D302" s="1" t="s">
        <v>20</v>
      </c>
      <c r="E302" s="5">
        <v>45660</v>
      </c>
      <c r="F302" s="5">
        <v>45690</v>
      </c>
      <c r="G302" s="2">
        <v>2022.83</v>
      </c>
      <c r="H302" s="3">
        <v>175441</v>
      </c>
      <c r="I302" s="3">
        <v>2141</v>
      </c>
      <c r="J302" s="3">
        <v>62</v>
      </c>
      <c r="K302" s="2">
        <v>1714.3</v>
      </c>
      <c r="L302" s="6">
        <f t="shared" si="20"/>
        <v>1.2203532811600481E-2</v>
      </c>
      <c r="M302" s="6">
        <f t="shared" si="21"/>
        <v>2.8958430639887903E-2</v>
      </c>
      <c r="N302" s="7">
        <f t="shared" si="22"/>
        <v>0.84747606076635207</v>
      </c>
      <c r="O302" s="8">
        <f t="shared" si="23"/>
        <v>0.94480616534329753</v>
      </c>
      <c r="P302" s="8">
        <f t="shared" si="24"/>
        <v>32.626290322580644</v>
      </c>
    </row>
    <row r="303" spans="1:16" x14ac:dyDescent="0.35">
      <c r="A303" s="1">
        <v>5301</v>
      </c>
      <c r="B303" s="1" t="s">
        <v>143</v>
      </c>
      <c r="C303" s="1" t="s">
        <v>60</v>
      </c>
      <c r="D303" s="1" t="s">
        <v>20</v>
      </c>
      <c r="E303" s="5">
        <v>45594</v>
      </c>
      <c r="F303" s="5">
        <v>45605</v>
      </c>
      <c r="G303" s="2">
        <v>2684.36</v>
      </c>
      <c r="H303" s="3">
        <v>169040</v>
      </c>
      <c r="I303" s="3">
        <v>3129</v>
      </c>
      <c r="J303" s="3">
        <v>101</v>
      </c>
      <c r="K303" s="2">
        <v>7719.43</v>
      </c>
      <c r="L303" s="6">
        <f t="shared" si="20"/>
        <v>1.8510411736867013E-2</v>
      </c>
      <c r="M303" s="6">
        <f t="shared" si="21"/>
        <v>3.2278683285394696E-2</v>
      </c>
      <c r="N303" s="7">
        <f t="shared" si="22"/>
        <v>2.8757059410809278</v>
      </c>
      <c r="O303" s="8">
        <f t="shared" si="23"/>
        <v>0.8578970917225951</v>
      </c>
      <c r="P303" s="8">
        <f t="shared" si="24"/>
        <v>26.577821782178219</v>
      </c>
    </row>
    <row r="304" spans="1:16" x14ac:dyDescent="0.35">
      <c r="A304" s="1">
        <v>5302</v>
      </c>
      <c r="B304" s="1" t="s">
        <v>55</v>
      </c>
      <c r="C304" s="1" t="s">
        <v>47</v>
      </c>
      <c r="D304" s="1" t="s">
        <v>38</v>
      </c>
      <c r="E304" s="5">
        <v>45774</v>
      </c>
      <c r="F304" s="5">
        <v>45788</v>
      </c>
      <c r="G304" s="2">
        <v>2890.43</v>
      </c>
      <c r="H304" s="3">
        <v>356403</v>
      </c>
      <c r="I304" s="3">
        <v>7658</v>
      </c>
      <c r="J304" s="3">
        <v>420</v>
      </c>
      <c r="K304" s="2">
        <v>34398</v>
      </c>
      <c r="L304" s="6">
        <f t="shared" si="20"/>
        <v>2.1486912287494775E-2</v>
      </c>
      <c r="M304" s="6">
        <f t="shared" si="21"/>
        <v>5.4844606946983544E-2</v>
      </c>
      <c r="N304" s="7">
        <f t="shared" si="22"/>
        <v>11.900651460163367</v>
      </c>
      <c r="O304" s="8">
        <f t="shared" si="23"/>
        <v>0.37743927918516584</v>
      </c>
      <c r="P304" s="8">
        <f t="shared" si="24"/>
        <v>6.8819761904761902</v>
      </c>
    </row>
    <row r="305" spans="1:16" x14ac:dyDescent="0.35">
      <c r="A305" s="1">
        <v>5303</v>
      </c>
      <c r="B305" s="1" t="s">
        <v>97</v>
      </c>
      <c r="C305" s="1" t="s">
        <v>37</v>
      </c>
      <c r="D305" s="1" t="s">
        <v>23</v>
      </c>
      <c r="E305" s="5">
        <v>45797</v>
      </c>
      <c r="F305" s="5">
        <v>45835</v>
      </c>
      <c r="G305" s="2">
        <v>4983.3900000000003</v>
      </c>
      <c r="H305" s="3">
        <v>252196</v>
      </c>
      <c r="I305" s="3">
        <v>3388</v>
      </c>
      <c r="J305" s="3">
        <v>115</v>
      </c>
      <c r="K305" s="2">
        <v>24160.35</v>
      </c>
      <c r="L305" s="6">
        <f t="shared" si="20"/>
        <v>1.3433995781059176E-2</v>
      </c>
      <c r="M305" s="6">
        <f t="shared" si="21"/>
        <v>3.3943329397874852E-2</v>
      </c>
      <c r="N305" s="7">
        <f t="shared" si="22"/>
        <v>4.8481756394743334</v>
      </c>
      <c r="O305" s="8">
        <f t="shared" si="23"/>
        <v>1.4708943329397877</v>
      </c>
      <c r="P305" s="8">
        <f t="shared" si="24"/>
        <v>43.333826086956527</v>
      </c>
    </row>
    <row r="306" spans="1:16" x14ac:dyDescent="0.35">
      <c r="A306" s="1">
        <v>5304</v>
      </c>
      <c r="B306" s="1" t="s">
        <v>144</v>
      </c>
      <c r="C306" s="1" t="s">
        <v>28</v>
      </c>
      <c r="D306" s="1" t="s">
        <v>20</v>
      </c>
      <c r="E306" s="5">
        <v>45681</v>
      </c>
      <c r="F306" s="5">
        <v>45690</v>
      </c>
      <c r="G306" s="2">
        <v>4744.99</v>
      </c>
      <c r="H306" s="3">
        <v>203998</v>
      </c>
      <c r="I306" s="3">
        <v>13493</v>
      </c>
      <c r="J306" s="3">
        <v>1009</v>
      </c>
      <c r="K306" s="2">
        <v>77238.95</v>
      </c>
      <c r="L306" s="6">
        <f t="shared" si="20"/>
        <v>6.6142805321620798E-2</v>
      </c>
      <c r="M306" s="6">
        <f t="shared" si="21"/>
        <v>7.4779515304231825E-2</v>
      </c>
      <c r="N306" s="7">
        <f t="shared" si="22"/>
        <v>16.278000585881109</v>
      </c>
      <c r="O306" s="8">
        <f t="shared" si="23"/>
        <v>0.35166308456236567</v>
      </c>
      <c r="P306" s="8">
        <f t="shared" si="24"/>
        <v>4.7026660059464813</v>
      </c>
    </row>
    <row r="307" spans="1:16" x14ac:dyDescent="0.35">
      <c r="A307" s="1">
        <v>5305</v>
      </c>
      <c r="B307" s="1" t="s">
        <v>145</v>
      </c>
      <c r="C307" s="1" t="s">
        <v>37</v>
      </c>
      <c r="D307" s="1" t="s">
        <v>20</v>
      </c>
      <c r="E307" s="5">
        <v>45719</v>
      </c>
      <c r="F307" s="5">
        <v>45759</v>
      </c>
      <c r="G307" s="2">
        <v>4078.36</v>
      </c>
      <c r="H307" s="3">
        <v>326792</v>
      </c>
      <c r="I307" s="3">
        <v>1560</v>
      </c>
      <c r="J307" s="3">
        <v>34</v>
      </c>
      <c r="K307" s="2">
        <v>6447.42</v>
      </c>
      <c r="L307" s="6">
        <f t="shared" si="20"/>
        <v>4.7736786702244852E-3</v>
      </c>
      <c r="M307" s="6">
        <f t="shared" si="21"/>
        <v>2.1794871794871794E-2</v>
      </c>
      <c r="N307" s="7">
        <f t="shared" si="22"/>
        <v>1.5808854539569828</v>
      </c>
      <c r="O307" s="8">
        <f t="shared" si="23"/>
        <v>2.6143333333333336</v>
      </c>
      <c r="P307" s="8">
        <f t="shared" si="24"/>
        <v>119.95176470588235</v>
      </c>
    </row>
    <row r="308" spans="1:16" x14ac:dyDescent="0.35">
      <c r="A308" s="1">
        <v>5306</v>
      </c>
      <c r="B308" s="1" t="s">
        <v>109</v>
      </c>
      <c r="C308" s="1" t="s">
        <v>28</v>
      </c>
      <c r="D308" s="1" t="s">
        <v>23</v>
      </c>
      <c r="E308" s="5">
        <v>45543</v>
      </c>
      <c r="F308" s="5">
        <v>45576</v>
      </c>
      <c r="G308" s="2">
        <v>123.74</v>
      </c>
      <c r="H308" s="3">
        <v>11489</v>
      </c>
      <c r="I308" s="3">
        <v>869</v>
      </c>
      <c r="J308" s="3">
        <v>62</v>
      </c>
      <c r="K308" s="2">
        <v>7139.92</v>
      </c>
      <c r="L308" s="6">
        <f t="shared" si="20"/>
        <v>7.5637566367830103E-2</v>
      </c>
      <c r="M308" s="6">
        <f t="shared" si="21"/>
        <v>7.1346375143843496E-2</v>
      </c>
      <c r="N308" s="7">
        <f t="shared" si="22"/>
        <v>57.700985938257638</v>
      </c>
      <c r="O308" s="8">
        <f t="shared" si="23"/>
        <v>0.14239355581127733</v>
      </c>
      <c r="P308" s="8">
        <f t="shared" si="24"/>
        <v>1.995806451612903</v>
      </c>
    </row>
    <row r="309" spans="1:16" x14ac:dyDescent="0.35">
      <c r="A309" s="1">
        <v>5307</v>
      </c>
      <c r="B309" s="1" t="s">
        <v>120</v>
      </c>
      <c r="C309" s="1" t="s">
        <v>28</v>
      </c>
      <c r="D309" s="1" t="s">
        <v>23</v>
      </c>
      <c r="E309" s="5">
        <v>45458</v>
      </c>
      <c r="F309" s="5">
        <v>45483</v>
      </c>
      <c r="G309" s="2">
        <v>7089.73</v>
      </c>
      <c r="H309" s="3">
        <v>325815</v>
      </c>
      <c r="I309" s="3">
        <v>8335</v>
      </c>
      <c r="J309" s="3">
        <v>582</v>
      </c>
      <c r="K309" s="2">
        <v>42032.04</v>
      </c>
      <c r="L309" s="6">
        <f t="shared" si="20"/>
        <v>2.5582002056381691E-2</v>
      </c>
      <c r="M309" s="6">
        <f t="shared" si="21"/>
        <v>6.9826034793041392E-2</v>
      </c>
      <c r="N309" s="7">
        <f t="shared" si="22"/>
        <v>5.9285812012587229</v>
      </c>
      <c r="O309" s="8">
        <f t="shared" si="23"/>
        <v>0.85059748050389916</v>
      </c>
      <c r="P309" s="8">
        <f t="shared" si="24"/>
        <v>12.181666666666667</v>
      </c>
    </row>
    <row r="310" spans="1:16" x14ac:dyDescent="0.35">
      <c r="A310" s="1">
        <v>5308</v>
      </c>
      <c r="B310" s="1" t="s">
        <v>120</v>
      </c>
      <c r="C310" s="1" t="s">
        <v>28</v>
      </c>
      <c r="D310" s="1" t="s">
        <v>38</v>
      </c>
      <c r="E310" s="5">
        <v>45657</v>
      </c>
      <c r="F310" s="5">
        <v>45678</v>
      </c>
      <c r="G310" s="2">
        <v>3484.38</v>
      </c>
      <c r="H310" s="3">
        <v>269689</v>
      </c>
      <c r="I310" s="3">
        <v>16818</v>
      </c>
      <c r="J310" s="3">
        <v>1073</v>
      </c>
      <c r="K310" s="2">
        <v>109982.5</v>
      </c>
      <c r="L310" s="6">
        <f t="shared" si="20"/>
        <v>6.236071919878082E-2</v>
      </c>
      <c r="M310" s="6">
        <f t="shared" si="21"/>
        <v>6.3800689737186347E-2</v>
      </c>
      <c r="N310" s="7">
        <f t="shared" si="22"/>
        <v>31.564439010670476</v>
      </c>
      <c r="O310" s="8">
        <f t="shared" si="23"/>
        <v>0.20718159115233678</v>
      </c>
      <c r="P310" s="8">
        <f t="shared" si="24"/>
        <v>3.2473252562907735</v>
      </c>
    </row>
    <row r="311" spans="1:16" x14ac:dyDescent="0.35">
      <c r="A311" s="1">
        <v>5309</v>
      </c>
      <c r="B311" s="1" t="s">
        <v>48</v>
      </c>
      <c r="C311" s="1" t="s">
        <v>17</v>
      </c>
      <c r="D311" s="1" t="s">
        <v>18</v>
      </c>
      <c r="E311" s="5">
        <v>45671</v>
      </c>
      <c r="F311" s="5">
        <v>45691</v>
      </c>
      <c r="G311" s="2">
        <v>1391.5</v>
      </c>
      <c r="H311" s="3">
        <v>122924</v>
      </c>
      <c r="I311" s="3">
        <v>3055</v>
      </c>
      <c r="J311" s="3">
        <v>136</v>
      </c>
      <c r="K311" s="2">
        <v>7917.92</v>
      </c>
      <c r="L311" s="6">
        <f t="shared" si="20"/>
        <v>2.4852754547525301E-2</v>
      </c>
      <c r="M311" s="6">
        <f t="shared" si="21"/>
        <v>4.4517184942716857E-2</v>
      </c>
      <c r="N311" s="7">
        <f t="shared" si="22"/>
        <v>5.6902048149478981</v>
      </c>
      <c r="O311" s="8">
        <f t="shared" si="23"/>
        <v>0.45548281505728316</v>
      </c>
      <c r="P311" s="8">
        <f t="shared" si="24"/>
        <v>10.231617647058824</v>
      </c>
    </row>
    <row r="312" spans="1:16" x14ac:dyDescent="0.35">
      <c r="A312" s="1">
        <v>5310</v>
      </c>
      <c r="B312" s="1" t="s">
        <v>59</v>
      </c>
      <c r="C312" s="1" t="s">
        <v>60</v>
      </c>
      <c r="D312" s="1" t="s">
        <v>26</v>
      </c>
      <c r="E312" s="5">
        <v>45784</v>
      </c>
      <c r="F312" s="5">
        <v>45808</v>
      </c>
      <c r="G312" s="2">
        <v>5866.78</v>
      </c>
      <c r="H312" s="3">
        <v>402938</v>
      </c>
      <c r="I312" s="3">
        <v>7340</v>
      </c>
      <c r="J312" s="3">
        <v>240</v>
      </c>
      <c r="K312" s="2">
        <v>6936</v>
      </c>
      <c r="L312" s="6">
        <f t="shared" si="20"/>
        <v>1.8216201996336907E-2</v>
      </c>
      <c r="M312" s="6">
        <f t="shared" si="21"/>
        <v>3.2697547683923703E-2</v>
      </c>
      <c r="N312" s="7">
        <f t="shared" si="22"/>
        <v>1.1822498883544297</v>
      </c>
      <c r="O312" s="8">
        <f t="shared" si="23"/>
        <v>0.79928882833787462</v>
      </c>
      <c r="P312" s="8">
        <f t="shared" si="24"/>
        <v>24.444916666666664</v>
      </c>
    </row>
    <row r="313" spans="1:16" x14ac:dyDescent="0.35">
      <c r="A313" s="1">
        <v>5311</v>
      </c>
      <c r="B313" s="1" t="s">
        <v>30</v>
      </c>
      <c r="C313" s="1" t="s">
        <v>25</v>
      </c>
      <c r="D313" s="1" t="s">
        <v>23</v>
      </c>
      <c r="E313" s="5">
        <v>45592</v>
      </c>
      <c r="F313" s="5">
        <v>45610</v>
      </c>
      <c r="G313" s="2">
        <v>607.04999999999995</v>
      </c>
      <c r="H313" s="3">
        <v>105942</v>
      </c>
      <c r="I313" s="3">
        <v>2156</v>
      </c>
      <c r="J313" s="3">
        <v>130</v>
      </c>
      <c r="K313" s="2">
        <v>6821.1</v>
      </c>
      <c r="L313" s="6">
        <f t="shared" si="20"/>
        <v>2.0350757961903682E-2</v>
      </c>
      <c r="M313" s="6">
        <f t="shared" si="21"/>
        <v>6.0296846011131729E-2</v>
      </c>
      <c r="N313" s="7">
        <f t="shared" si="22"/>
        <v>11.236471460340995</v>
      </c>
      <c r="O313" s="8">
        <f t="shared" si="23"/>
        <v>0.28156307977736544</v>
      </c>
      <c r="P313" s="8">
        <f t="shared" si="24"/>
        <v>4.6696153846153843</v>
      </c>
    </row>
    <row r="314" spans="1:16" x14ac:dyDescent="0.35">
      <c r="A314" s="1">
        <v>5312</v>
      </c>
      <c r="B314" s="1" t="s">
        <v>91</v>
      </c>
      <c r="C314" s="1" t="s">
        <v>37</v>
      </c>
      <c r="D314" s="1" t="s">
        <v>20</v>
      </c>
      <c r="E314" s="5">
        <v>45461</v>
      </c>
      <c r="F314" s="5">
        <v>45501</v>
      </c>
      <c r="G314" s="2">
        <v>4499.82</v>
      </c>
      <c r="H314" s="3">
        <v>256108</v>
      </c>
      <c r="I314" s="3">
        <v>2249</v>
      </c>
      <c r="J314" s="3">
        <v>67</v>
      </c>
      <c r="K314" s="2">
        <v>11093.19</v>
      </c>
      <c r="L314" s="6">
        <f t="shared" si="20"/>
        <v>8.7814515751167468E-3</v>
      </c>
      <c r="M314" s="6">
        <f t="shared" si="21"/>
        <v>2.9791018230324588E-2</v>
      </c>
      <c r="N314" s="7">
        <f t="shared" si="22"/>
        <v>2.46525194341107</v>
      </c>
      <c r="O314" s="8">
        <f t="shared" si="23"/>
        <v>2.0008092485549134</v>
      </c>
      <c r="P314" s="8">
        <f t="shared" si="24"/>
        <v>67.161492537313435</v>
      </c>
    </row>
    <row r="315" spans="1:16" x14ac:dyDescent="0.35">
      <c r="A315" s="1">
        <v>5313</v>
      </c>
      <c r="B315" s="1" t="s">
        <v>50</v>
      </c>
      <c r="C315" s="1" t="s">
        <v>22</v>
      </c>
      <c r="D315" s="1" t="s">
        <v>26</v>
      </c>
      <c r="E315" s="5">
        <v>45698</v>
      </c>
      <c r="F315" s="5">
        <v>45705</v>
      </c>
      <c r="G315" s="2">
        <v>46.22</v>
      </c>
      <c r="H315" s="3">
        <v>84033</v>
      </c>
      <c r="I315" s="3">
        <v>4071</v>
      </c>
      <c r="J315" s="3">
        <v>297</v>
      </c>
      <c r="K315" s="2">
        <v>7496.28</v>
      </c>
      <c r="L315" s="6">
        <f t="shared" si="20"/>
        <v>4.8445253650351648E-2</v>
      </c>
      <c r="M315" s="6">
        <f t="shared" si="21"/>
        <v>7.2955047899778927E-2</v>
      </c>
      <c r="N315" s="7">
        <f t="shared" si="22"/>
        <v>162.18693206404154</v>
      </c>
      <c r="O315" s="8">
        <f t="shared" si="23"/>
        <v>1.1353475804470646E-2</v>
      </c>
      <c r="P315" s="8">
        <f t="shared" si="24"/>
        <v>0.15562289562289561</v>
      </c>
    </row>
    <row r="316" spans="1:16" x14ac:dyDescent="0.35">
      <c r="A316" s="1">
        <v>5314</v>
      </c>
      <c r="B316" s="1" t="s">
        <v>58</v>
      </c>
      <c r="C316" s="1" t="s">
        <v>17</v>
      </c>
      <c r="D316" s="1" t="s">
        <v>38</v>
      </c>
      <c r="E316" s="5">
        <v>45690</v>
      </c>
      <c r="F316" s="5">
        <v>45718</v>
      </c>
      <c r="G316" s="2">
        <v>5938.61</v>
      </c>
      <c r="H316" s="3">
        <v>470199</v>
      </c>
      <c r="I316" s="3">
        <v>11621</v>
      </c>
      <c r="J316" s="3">
        <v>457</v>
      </c>
      <c r="K316" s="2">
        <v>9555.8700000000008</v>
      </c>
      <c r="L316" s="6">
        <f t="shared" si="20"/>
        <v>2.4715067450164718E-2</v>
      </c>
      <c r="M316" s="6">
        <f t="shared" si="21"/>
        <v>3.9325359263402464E-2</v>
      </c>
      <c r="N316" s="7">
        <f t="shared" si="22"/>
        <v>1.6091088655426105</v>
      </c>
      <c r="O316" s="8">
        <f t="shared" si="23"/>
        <v>0.51102400826090699</v>
      </c>
      <c r="P316" s="8">
        <f t="shared" si="24"/>
        <v>12.994770240700218</v>
      </c>
    </row>
    <row r="317" spans="1:16" x14ac:dyDescent="0.35">
      <c r="A317" s="1">
        <v>5315</v>
      </c>
      <c r="B317" s="1" t="s">
        <v>54</v>
      </c>
      <c r="C317" s="1" t="s">
        <v>37</v>
      </c>
      <c r="D317" s="1" t="s">
        <v>23</v>
      </c>
      <c r="E317" s="5">
        <v>45678</v>
      </c>
      <c r="F317" s="5">
        <v>45702</v>
      </c>
      <c r="G317" s="2">
        <v>6237.88</v>
      </c>
      <c r="H317" s="3">
        <v>202792</v>
      </c>
      <c r="I317" s="3">
        <v>2854</v>
      </c>
      <c r="J317" s="3">
        <v>70</v>
      </c>
      <c r="K317" s="2">
        <v>7535.5</v>
      </c>
      <c r="L317" s="6">
        <f t="shared" si="20"/>
        <v>1.4073533472720817E-2</v>
      </c>
      <c r="M317" s="6">
        <f t="shared" si="21"/>
        <v>2.4526979677645409E-2</v>
      </c>
      <c r="N317" s="7">
        <f t="shared" si="22"/>
        <v>1.2080225974209187</v>
      </c>
      <c r="O317" s="8">
        <f t="shared" si="23"/>
        <v>2.1856622284512963</v>
      </c>
      <c r="P317" s="8">
        <f t="shared" si="24"/>
        <v>89.112571428571428</v>
      </c>
    </row>
    <row r="318" spans="1:16" x14ac:dyDescent="0.35">
      <c r="A318" s="1">
        <v>5316</v>
      </c>
      <c r="B318" s="1" t="s">
        <v>138</v>
      </c>
      <c r="C318" s="1" t="s">
        <v>47</v>
      </c>
      <c r="D318" s="1" t="s">
        <v>26</v>
      </c>
      <c r="E318" s="5">
        <v>45633</v>
      </c>
      <c r="F318" s="5">
        <v>45666</v>
      </c>
      <c r="G318" s="2">
        <v>540.61</v>
      </c>
      <c r="H318" s="3">
        <v>47969</v>
      </c>
      <c r="I318" s="3">
        <v>424</v>
      </c>
      <c r="J318" s="3">
        <v>19</v>
      </c>
      <c r="K318" s="2">
        <v>1159.76</v>
      </c>
      <c r="L318" s="6">
        <f t="shared" si="20"/>
        <v>8.8390418812149506E-3</v>
      </c>
      <c r="M318" s="6">
        <f t="shared" si="21"/>
        <v>4.4811320754716978E-2</v>
      </c>
      <c r="N318" s="7">
        <f t="shared" si="22"/>
        <v>2.1452803314774052</v>
      </c>
      <c r="O318" s="8">
        <f t="shared" si="23"/>
        <v>1.2750235849056604</v>
      </c>
      <c r="P318" s="8">
        <f t="shared" si="24"/>
        <v>28.453157894736844</v>
      </c>
    </row>
    <row r="319" spans="1:16" x14ac:dyDescent="0.35">
      <c r="A319" s="1">
        <v>5317</v>
      </c>
      <c r="B319" s="1" t="s">
        <v>56</v>
      </c>
      <c r="C319" s="1" t="s">
        <v>37</v>
      </c>
      <c r="D319" s="1" t="s">
        <v>20</v>
      </c>
      <c r="E319" s="5">
        <v>45613</v>
      </c>
      <c r="F319" s="5">
        <v>45624</v>
      </c>
      <c r="G319" s="2">
        <v>5884.7</v>
      </c>
      <c r="H319" s="3">
        <v>446487</v>
      </c>
      <c r="I319" s="3">
        <v>3838</v>
      </c>
      <c r="J319" s="3">
        <v>96</v>
      </c>
      <c r="K319" s="2">
        <v>8164.8</v>
      </c>
      <c r="L319" s="6">
        <f t="shared" si="20"/>
        <v>8.595994956180136E-3</v>
      </c>
      <c r="M319" s="6">
        <f t="shared" si="21"/>
        <v>2.5013027618551328E-2</v>
      </c>
      <c r="N319" s="7">
        <f t="shared" si="22"/>
        <v>1.387462402501402</v>
      </c>
      <c r="O319" s="8">
        <f t="shared" si="23"/>
        <v>1.5332725377800938</v>
      </c>
      <c r="P319" s="8">
        <f t="shared" si="24"/>
        <v>61.298958333333331</v>
      </c>
    </row>
    <row r="320" spans="1:16" x14ac:dyDescent="0.35">
      <c r="A320" s="1">
        <v>5318</v>
      </c>
      <c r="B320" s="1" t="s">
        <v>115</v>
      </c>
      <c r="C320" s="1" t="s">
        <v>47</v>
      </c>
      <c r="D320" s="1" t="s">
        <v>23</v>
      </c>
      <c r="E320" s="5">
        <v>45488</v>
      </c>
      <c r="F320" s="5">
        <v>45523</v>
      </c>
      <c r="G320" s="2">
        <v>2723.45</v>
      </c>
      <c r="H320" s="3">
        <v>275096</v>
      </c>
      <c r="I320" s="3">
        <v>9235</v>
      </c>
      <c r="J320" s="3">
        <v>486</v>
      </c>
      <c r="K320" s="2">
        <v>33490.26</v>
      </c>
      <c r="L320" s="6">
        <f t="shared" si="20"/>
        <v>3.3570099165382269E-2</v>
      </c>
      <c r="M320" s="6">
        <f t="shared" si="21"/>
        <v>5.2625879805089336E-2</v>
      </c>
      <c r="N320" s="7">
        <f t="shared" si="22"/>
        <v>12.296998292606805</v>
      </c>
      <c r="O320" s="8">
        <f t="shared" si="23"/>
        <v>0.29490525175961013</v>
      </c>
      <c r="P320" s="8">
        <f t="shared" si="24"/>
        <v>5.6038065843621396</v>
      </c>
    </row>
    <row r="321" spans="1:16" x14ac:dyDescent="0.35">
      <c r="A321" s="1">
        <v>5319</v>
      </c>
      <c r="B321" s="1" t="s">
        <v>136</v>
      </c>
      <c r="C321" s="1" t="s">
        <v>37</v>
      </c>
      <c r="D321" s="1" t="s">
        <v>38</v>
      </c>
      <c r="E321" s="5">
        <v>45514</v>
      </c>
      <c r="F321" s="5">
        <v>45521</v>
      </c>
      <c r="G321" s="2">
        <v>2783.92</v>
      </c>
      <c r="H321" s="3">
        <v>112074</v>
      </c>
      <c r="I321" s="3">
        <v>783</v>
      </c>
      <c r="J321" s="3">
        <v>24</v>
      </c>
      <c r="K321" s="2">
        <v>1623.84</v>
      </c>
      <c r="L321" s="6">
        <f t="shared" si="20"/>
        <v>6.9864553776968789E-3</v>
      </c>
      <c r="M321" s="6">
        <f t="shared" si="21"/>
        <v>3.0651340996168581E-2</v>
      </c>
      <c r="N321" s="7">
        <f t="shared" si="22"/>
        <v>0.58329262335124565</v>
      </c>
      <c r="O321" s="8">
        <f t="shared" si="23"/>
        <v>3.5554533844189016</v>
      </c>
      <c r="P321" s="8">
        <f t="shared" si="24"/>
        <v>115.99666666666667</v>
      </c>
    </row>
    <row r="322" spans="1:16" x14ac:dyDescent="0.35">
      <c r="A322" s="1">
        <v>5320</v>
      </c>
      <c r="B322" s="1" t="s">
        <v>87</v>
      </c>
      <c r="C322" s="1" t="s">
        <v>47</v>
      </c>
      <c r="D322" s="1" t="s">
        <v>26</v>
      </c>
      <c r="E322" s="5">
        <v>45808</v>
      </c>
      <c r="F322" s="5">
        <v>45831</v>
      </c>
      <c r="G322" s="2">
        <v>738.94</v>
      </c>
      <c r="H322" s="3">
        <v>152673</v>
      </c>
      <c r="I322" s="3">
        <v>2701</v>
      </c>
      <c r="J322" s="3">
        <v>72</v>
      </c>
      <c r="K322" s="2">
        <v>2100.2399999999998</v>
      </c>
      <c r="L322" s="6">
        <f t="shared" ref="L322:L385" si="25">IFERROR(I322/H322,0)</f>
        <v>1.7691405815042607E-2</v>
      </c>
      <c r="M322" s="6">
        <f t="shared" ref="M322:M385" si="26">IFERROR(J322/I322,0)</f>
        <v>2.6656793780081452E-2</v>
      </c>
      <c r="N322" s="7">
        <f t="shared" ref="N322:N385" si="27">IFERROR(K322/G322,0)</f>
        <v>2.8422334695645106</v>
      </c>
      <c r="O322" s="8">
        <f t="shared" ref="O322:O385" si="28">IFERROR(G322/I322,0)</f>
        <v>0.27358015549796372</v>
      </c>
      <c r="P322" s="8">
        <f t="shared" ref="P322:P385" si="29">IFERROR(G322/J322,0)</f>
        <v>10.263055555555557</v>
      </c>
    </row>
    <row r="323" spans="1:16" x14ac:dyDescent="0.35">
      <c r="A323" s="1">
        <v>5321</v>
      </c>
      <c r="B323" s="1" t="s">
        <v>113</v>
      </c>
      <c r="C323" s="1" t="s">
        <v>47</v>
      </c>
      <c r="D323" s="1" t="s">
        <v>26</v>
      </c>
      <c r="E323" s="5">
        <v>45613</v>
      </c>
      <c r="F323" s="5">
        <v>45658</v>
      </c>
      <c r="G323" s="2">
        <v>2019.95</v>
      </c>
      <c r="H323" s="3">
        <v>199995</v>
      </c>
      <c r="I323" s="3">
        <v>4815</v>
      </c>
      <c r="J323" s="3">
        <v>253</v>
      </c>
      <c r="K323" s="2">
        <v>22124.85</v>
      </c>
      <c r="L323" s="6">
        <f t="shared" si="25"/>
        <v>2.407560189004725E-2</v>
      </c>
      <c r="M323" s="6">
        <f t="shared" si="26"/>
        <v>5.2544132917964691E-2</v>
      </c>
      <c r="N323" s="7">
        <f t="shared" si="27"/>
        <v>10.953167157602911</v>
      </c>
      <c r="O323" s="8">
        <f t="shared" si="28"/>
        <v>0.41951194184839047</v>
      </c>
      <c r="P323" s="8">
        <f t="shared" si="29"/>
        <v>7.9839920948616605</v>
      </c>
    </row>
    <row r="324" spans="1:16" x14ac:dyDescent="0.35">
      <c r="A324" s="1">
        <v>5322</v>
      </c>
      <c r="B324" s="1" t="s">
        <v>31</v>
      </c>
      <c r="C324" s="1" t="s">
        <v>25</v>
      </c>
      <c r="D324" s="1" t="s">
        <v>38</v>
      </c>
      <c r="E324" s="5">
        <v>45796</v>
      </c>
      <c r="F324" s="5">
        <v>45808</v>
      </c>
      <c r="G324" s="2">
        <v>2355.77</v>
      </c>
      <c r="H324" s="3">
        <v>472099</v>
      </c>
      <c r="I324" s="3">
        <v>16290</v>
      </c>
      <c r="J324" s="3">
        <v>1037</v>
      </c>
      <c r="K324" s="2">
        <v>64677.69</v>
      </c>
      <c r="L324" s="6">
        <f t="shared" si="25"/>
        <v>3.4505474487342695E-2</v>
      </c>
      <c r="M324" s="6">
        <f t="shared" si="26"/>
        <v>6.3658686310620008E-2</v>
      </c>
      <c r="N324" s="7">
        <f t="shared" si="27"/>
        <v>27.455010463670053</v>
      </c>
      <c r="O324" s="8">
        <f t="shared" si="28"/>
        <v>0.14461448741559238</v>
      </c>
      <c r="P324" s="8">
        <f t="shared" si="29"/>
        <v>2.2717164898746383</v>
      </c>
    </row>
    <row r="325" spans="1:16" x14ac:dyDescent="0.35">
      <c r="A325" s="1">
        <v>5323</v>
      </c>
      <c r="B325" s="1" t="s">
        <v>69</v>
      </c>
      <c r="C325" s="1" t="s">
        <v>47</v>
      </c>
      <c r="D325" s="1" t="s">
        <v>23</v>
      </c>
      <c r="E325" s="5">
        <v>45817</v>
      </c>
      <c r="F325" s="5">
        <v>45849</v>
      </c>
      <c r="G325" s="2">
        <v>3591.51</v>
      </c>
      <c r="H325" s="3">
        <v>349709</v>
      </c>
      <c r="I325" s="3">
        <v>4232</v>
      </c>
      <c r="J325" s="3">
        <v>100</v>
      </c>
      <c r="K325" s="2">
        <v>4453</v>
      </c>
      <c r="L325" s="6">
        <f t="shared" si="25"/>
        <v>1.2101490096051288E-2</v>
      </c>
      <c r="M325" s="6">
        <f t="shared" si="26"/>
        <v>2.3629489603024575E-2</v>
      </c>
      <c r="N325" s="7">
        <f t="shared" si="27"/>
        <v>1.2398684675804883</v>
      </c>
      <c r="O325" s="8">
        <f t="shared" si="28"/>
        <v>0.84865548204158792</v>
      </c>
      <c r="P325" s="8">
        <f t="shared" si="29"/>
        <v>35.915100000000002</v>
      </c>
    </row>
    <row r="326" spans="1:16" x14ac:dyDescent="0.35">
      <c r="A326" s="1">
        <v>5324</v>
      </c>
      <c r="B326" s="1" t="s">
        <v>71</v>
      </c>
      <c r="C326" s="1" t="s">
        <v>47</v>
      </c>
      <c r="D326" s="1" t="s">
        <v>20</v>
      </c>
      <c r="E326" s="5">
        <v>45812</v>
      </c>
      <c r="F326" s="5">
        <v>45823</v>
      </c>
      <c r="G326" s="2">
        <v>974.18</v>
      </c>
      <c r="H326" s="3">
        <v>117939</v>
      </c>
      <c r="I326" s="3">
        <v>3520</v>
      </c>
      <c r="J326" s="3">
        <v>122</v>
      </c>
      <c r="K326" s="2">
        <v>4792.16</v>
      </c>
      <c r="L326" s="6">
        <f t="shared" si="25"/>
        <v>2.9845937306573738E-2</v>
      </c>
      <c r="M326" s="6">
        <f t="shared" si="26"/>
        <v>3.465909090909091E-2</v>
      </c>
      <c r="N326" s="7">
        <f t="shared" si="27"/>
        <v>4.9191730481019933</v>
      </c>
      <c r="O326" s="8">
        <f t="shared" si="28"/>
        <v>0.27675568181818183</v>
      </c>
      <c r="P326" s="8">
        <f t="shared" si="29"/>
        <v>7.9850819672131141</v>
      </c>
    </row>
    <row r="327" spans="1:16" x14ac:dyDescent="0.35">
      <c r="A327" s="1">
        <v>5325</v>
      </c>
      <c r="B327" s="1" t="s">
        <v>42</v>
      </c>
      <c r="C327" s="1" t="s">
        <v>37</v>
      </c>
      <c r="D327" s="1" t="s">
        <v>20</v>
      </c>
      <c r="E327" s="5">
        <v>45632</v>
      </c>
      <c r="F327" s="5">
        <v>45672</v>
      </c>
      <c r="G327" s="2">
        <v>12178.64</v>
      </c>
      <c r="H327" s="3">
        <v>400877</v>
      </c>
      <c r="I327" s="3">
        <v>4847</v>
      </c>
      <c r="J327" s="3">
        <v>101</v>
      </c>
      <c r="K327" s="2">
        <v>21973.56</v>
      </c>
      <c r="L327" s="6">
        <f t="shared" si="25"/>
        <v>1.2090990503321467E-2</v>
      </c>
      <c r="M327" s="6">
        <f t="shared" si="26"/>
        <v>2.0837631524654426E-2</v>
      </c>
      <c r="N327" s="7">
        <f t="shared" si="27"/>
        <v>1.8042704275682673</v>
      </c>
      <c r="O327" s="8">
        <f t="shared" si="28"/>
        <v>2.5126139880338352</v>
      </c>
      <c r="P327" s="8">
        <f t="shared" si="29"/>
        <v>120.58059405940594</v>
      </c>
    </row>
    <row r="328" spans="1:16" x14ac:dyDescent="0.35">
      <c r="A328" s="1">
        <v>5326</v>
      </c>
      <c r="B328" s="1" t="s">
        <v>139</v>
      </c>
      <c r="C328" s="1" t="s">
        <v>60</v>
      </c>
      <c r="D328" s="1" t="s">
        <v>20</v>
      </c>
      <c r="E328" s="5">
        <v>45546</v>
      </c>
      <c r="F328" s="5">
        <v>45583</v>
      </c>
      <c r="G328" s="2">
        <v>2092.84</v>
      </c>
      <c r="H328" s="3">
        <v>257106</v>
      </c>
      <c r="I328" s="3">
        <v>4022</v>
      </c>
      <c r="J328" s="3">
        <v>111</v>
      </c>
      <c r="K328" s="2">
        <v>6794.31</v>
      </c>
      <c r="L328" s="6">
        <f t="shared" si="25"/>
        <v>1.5643353325087705E-2</v>
      </c>
      <c r="M328" s="6">
        <f t="shared" si="26"/>
        <v>2.7598209845847838E-2</v>
      </c>
      <c r="N328" s="7">
        <f t="shared" si="27"/>
        <v>3.2464545784675369</v>
      </c>
      <c r="O328" s="8">
        <f t="shared" si="28"/>
        <v>0.52034808552958733</v>
      </c>
      <c r="P328" s="8">
        <f t="shared" si="29"/>
        <v>18.854414414414414</v>
      </c>
    </row>
    <row r="329" spans="1:16" x14ac:dyDescent="0.35">
      <c r="A329" s="1">
        <v>5327</v>
      </c>
      <c r="B329" s="1" t="s">
        <v>33</v>
      </c>
      <c r="C329" s="1" t="s">
        <v>22</v>
      </c>
      <c r="D329" s="1" t="s">
        <v>23</v>
      </c>
      <c r="E329" s="5">
        <v>45450</v>
      </c>
      <c r="F329" s="5">
        <v>45460</v>
      </c>
      <c r="G329" s="2">
        <v>113.8</v>
      </c>
      <c r="H329" s="3">
        <v>118538</v>
      </c>
      <c r="I329" s="3">
        <v>5194</v>
      </c>
      <c r="J329" s="3">
        <v>232</v>
      </c>
      <c r="K329" s="2">
        <v>15022</v>
      </c>
      <c r="L329" s="6">
        <f t="shared" si="25"/>
        <v>4.3817172552261724E-2</v>
      </c>
      <c r="M329" s="6">
        <f t="shared" si="26"/>
        <v>4.4666923373122835E-2</v>
      </c>
      <c r="N329" s="7">
        <f t="shared" si="27"/>
        <v>132.00351493848859</v>
      </c>
      <c r="O329" s="8">
        <f t="shared" si="28"/>
        <v>2.190989603388525E-2</v>
      </c>
      <c r="P329" s="8">
        <f t="shared" si="29"/>
        <v>0.49051724137931035</v>
      </c>
    </row>
    <row r="330" spans="1:16" x14ac:dyDescent="0.35">
      <c r="A330" s="1">
        <v>5328</v>
      </c>
      <c r="B330" s="1" t="s">
        <v>103</v>
      </c>
      <c r="C330" s="1" t="s">
        <v>60</v>
      </c>
      <c r="D330" s="1" t="s">
        <v>18</v>
      </c>
      <c r="E330" s="5">
        <v>45752</v>
      </c>
      <c r="F330" s="5">
        <v>45771</v>
      </c>
      <c r="G330" s="2">
        <v>1957.7</v>
      </c>
      <c r="H330" s="3">
        <v>233060</v>
      </c>
      <c r="I330" s="3">
        <v>3652</v>
      </c>
      <c r="J330" s="3">
        <v>46</v>
      </c>
      <c r="K330" s="2">
        <v>2098.06</v>
      </c>
      <c r="L330" s="6">
        <f t="shared" si="25"/>
        <v>1.5669784604822792E-2</v>
      </c>
      <c r="M330" s="6">
        <f t="shared" si="26"/>
        <v>1.2595837897042717E-2</v>
      </c>
      <c r="N330" s="7">
        <f t="shared" si="27"/>
        <v>1.0716963784032283</v>
      </c>
      <c r="O330" s="8">
        <f t="shared" si="28"/>
        <v>0.53606243154435929</v>
      </c>
      <c r="P330" s="8">
        <f t="shared" si="29"/>
        <v>42.558695652173917</v>
      </c>
    </row>
    <row r="331" spans="1:16" x14ac:dyDescent="0.35">
      <c r="A331" s="1">
        <v>5329</v>
      </c>
      <c r="B331" s="1" t="s">
        <v>85</v>
      </c>
      <c r="C331" s="1" t="s">
        <v>17</v>
      </c>
      <c r="D331" s="1" t="s">
        <v>26</v>
      </c>
      <c r="E331" s="5">
        <v>45607</v>
      </c>
      <c r="F331" s="5">
        <v>45629</v>
      </c>
      <c r="G331" s="2">
        <v>1364.42</v>
      </c>
      <c r="H331" s="3">
        <v>126805</v>
      </c>
      <c r="I331" s="3">
        <v>2807</v>
      </c>
      <c r="J331" s="3">
        <v>68</v>
      </c>
      <c r="K331" s="2">
        <v>4019.48</v>
      </c>
      <c r="L331" s="6">
        <f t="shared" si="25"/>
        <v>2.2136351090256693E-2</v>
      </c>
      <c r="M331" s="6">
        <f t="shared" si="26"/>
        <v>2.4225151407196294E-2</v>
      </c>
      <c r="N331" s="7">
        <f t="shared" si="27"/>
        <v>2.9459257413406426</v>
      </c>
      <c r="O331" s="8">
        <f t="shared" si="28"/>
        <v>0.48607766298539368</v>
      </c>
      <c r="P331" s="8">
        <f t="shared" si="29"/>
        <v>20.065000000000001</v>
      </c>
    </row>
    <row r="332" spans="1:16" x14ac:dyDescent="0.35">
      <c r="A332" s="1">
        <v>5330</v>
      </c>
      <c r="B332" s="1" t="s">
        <v>101</v>
      </c>
      <c r="C332" s="1" t="s">
        <v>60</v>
      </c>
      <c r="D332" s="1" t="s">
        <v>18</v>
      </c>
      <c r="E332" s="5">
        <v>45658</v>
      </c>
      <c r="F332" s="5">
        <v>45702</v>
      </c>
      <c r="G332" s="2">
        <v>758.77</v>
      </c>
      <c r="H332" s="3">
        <v>67566</v>
      </c>
      <c r="I332" s="3">
        <v>522</v>
      </c>
      <c r="J332" s="3">
        <v>7</v>
      </c>
      <c r="K332" s="2">
        <v>154.63</v>
      </c>
      <c r="L332" s="6">
        <f t="shared" si="25"/>
        <v>7.725779238078323E-3</v>
      </c>
      <c r="M332" s="6">
        <f t="shared" si="26"/>
        <v>1.3409961685823755E-2</v>
      </c>
      <c r="N332" s="7">
        <f t="shared" si="27"/>
        <v>0.20379034490029918</v>
      </c>
      <c r="O332" s="8">
        <f t="shared" si="28"/>
        <v>1.4535823754789272</v>
      </c>
      <c r="P332" s="8">
        <f t="shared" si="29"/>
        <v>108.39571428571428</v>
      </c>
    </row>
    <row r="333" spans="1:16" x14ac:dyDescent="0.35">
      <c r="A333" s="1">
        <v>5331</v>
      </c>
      <c r="B333" s="1" t="s">
        <v>103</v>
      </c>
      <c r="C333" s="1" t="s">
        <v>60</v>
      </c>
      <c r="D333" s="1" t="s">
        <v>26</v>
      </c>
      <c r="E333" s="5">
        <v>45762</v>
      </c>
      <c r="F333" s="5">
        <v>45790</v>
      </c>
      <c r="G333" s="2">
        <v>7045.78</v>
      </c>
      <c r="H333" s="3">
        <v>420142</v>
      </c>
      <c r="I333" s="3">
        <v>4528</v>
      </c>
      <c r="J333" s="3">
        <v>113</v>
      </c>
      <c r="K333" s="2">
        <v>6240.99</v>
      </c>
      <c r="L333" s="6">
        <f t="shared" si="25"/>
        <v>1.0777308624227048E-2</v>
      </c>
      <c r="M333" s="6">
        <f t="shared" si="26"/>
        <v>2.495583038869258E-2</v>
      </c>
      <c r="N333" s="7">
        <f t="shared" si="27"/>
        <v>0.88577701830031597</v>
      </c>
      <c r="O333" s="8">
        <f t="shared" si="28"/>
        <v>1.5560468197879858</v>
      </c>
      <c r="P333" s="8">
        <f t="shared" si="29"/>
        <v>62.352035398230086</v>
      </c>
    </row>
    <row r="334" spans="1:16" x14ac:dyDescent="0.35">
      <c r="A334" s="1">
        <v>5332</v>
      </c>
      <c r="B334" s="1" t="s">
        <v>146</v>
      </c>
      <c r="C334" s="1" t="s">
        <v>37</v>
      </c>
      <c r="D334" s="1" t="s">
        <v>23</v>
      </c>
      <c r="E334" s="5">
        <v>45686</v>
      </c>
      <c r="F334" s="5">
        <v>45705</v>
      </c>
      <c r="G334" s="2">
        <v>5994.91</v>
      </c>
      <c r="H334" s="3">
        <v>187693</v>
      </c>
      <c r="I334" s="3">
        <v>782</v>
      </c>
      <c r="J334" s="3">
        <v>11</v>
      </c>
      <c r="K334" s="2">
        <v>1770.34</v>
      </c>
      <c r="L334" s="6">
        <f t="shared" si="25"/>
        <v>4.1663780748349699E-3</v>
      </c>
      <c r="M334" s="6">
        <f t="shared" si="26"/>
        <v>1.4066496163682864E-2</v>
      </c>
      <c r="N334" s="7">
        <f t="shared" si="27"/>
        <v>0.2953071855957804</v>
      </c>
      <c r="O334" s="8">
        <f t="shared" si="28"/>
        <v>7.6661253196930943</v>
      </c>
      <c r="P334" s="8">
        <f t="shared" si="29"/>
        <v>544.99181818181819</v>
      </c>
    </row>
    <row r="335" spans="1:16" x14ac:dyDescent="0.35">
      <c r="A335" s="1">
        <v>5333</v>
      </c>
      <c r="B335" s="1" t="s">
        <v>121</v>
      </c>
      <c r="C335" s="1" t="s">
        <v>25</v>
      </c>
      <c r="D335" s="1" t="s">
        <v>23</v>
      </c>
      <c r="E335" s="5">
        <v>45745</v>
      </c>
      <c r="F335" s="5">
        <v>45767</v>
      </c>
      <c r="G335" s="2">
        <v>2716.68</v>
      </c>
      <c r="H335" s="3">
        <v>416031</v>
      </c>
      <c r="I335" s="3">
        <v>6426</v>
      </c>
      <c r="J335" s="3">
        <v>249</v>
      </c>
      <c r="K335" s="2">
        <v>19932.45</v>
      </c>
      <c r="L335" s="6">
        <f t="shared" si="25"/>
        <v>1.5445964363232548E-2</v>
      </c>
      <c r="M335" s="6">
        <f t="shared" si="26"/>
        <v>3.8748832866479926E-2</v>
      </c>
      <c r="N335" s="7">
        <f t="shared" si="27"/>
        <v>7.3370621493882249</v>
      </c>
      <c r="O335" s="8">
        <f t="shared" si="28"/>
        <v>0.42276377217553684</v>
      </c>
      <c r="P335" s="8">
        <f t="shared" si="29"/>
        <v>10.910361445783131</v>
      </c>
    </row>
    <row r="336" spans="1:16" x14ac:dyDescent="0.35">
      <c r="A336" s="1">
        <v>5334</v>
      </c>
      <c r="B336" s="1" t="s">
        <v>115</v>
      </c>
      <c r="C336" s="1" t="s">
        <v>47</v>
      </c>
      <c r="D336" s="1" t="s">
        <v>20</v>
      </c>
      <c r="E336" s="5">
        <v>45551</v>
      </c>
      <c r="F336" s="5">
        <v>45560</v>
      </c>
      <c r="G336" s="2">
        <v>4039.05</v>
      </c>
      <c r="H336" s="3">
        <v>417689</v>
      </c>
      <c r="I336" s="3">
        <v>13206</v>
      </c>
      <c r="J336" s="3">
        <v>365</v>
      </c>
      <c r="K336" s="2">
        <v>29798.6</v>
      </c>
      <c r="L336" s="6">
        <f t="shared" si="25"/>
        <v>3.1616824958282358E-2</v>
      </c>
      <c r="M336" s="6">
        <f t="shared" si="26"/>
        <v>2.7638951991519008E-2</v>
      </c>
      <c r="N336" s="7">
        <f t="shared" si="27"/>
        <v>7.3776259268887481</v>
      </c>
      <c r="O336" s="8">
        <f t="shared" si="28"/>
        <v>0.30584961381190368</v>
      </c>
      <c r="P336" s="8">
        <f t="shared" si="29"/>
        <v>11.065890410958904</v>
      </c>
    </row>
    <row r="337" spans="1:16" x14ac:dyDescent="0.35">
      <c r="A337" s="1">
        <v>5335</v>
      </c>
      <c r="B337" s="1" t="s">
        <v>113</v>
      </c>
      <c r="C337" s="1" t="s">
        <v>47</v>
      </c>
      <c r="D337" s="1" t="s">
        <v>20</v>
      </c>
      <c r="E337" s="5">
        <v>45537</v>
      </c>
      <c r="F337" s="5">
        <v>45552</v>
      </c>
      <c r="G337" s="2">
        <v>1644.28</v>
      </c>
      <c r="H337" s="3">
        <v>365396</v>
      </c>
      <c r="I337" s="3">
        <v>9507</v>
      </c>
      <c r="J337" s="3">
        <v>142</v>
      </c>
      <c r="K337" s="2">
        <v>7082.96</v>
      </c>
      <c r="L337" s="6">
        <f t="shared" si="25"/>
        <v>2.6018347217813004E-2</v>
      </c>
      <c r="M337" s="6">
        <f t="shared" si="26"/>
        <v>1.4936362680130431E-2</v>
      </c>
      <c r="N337" s="7">
        <f t="shared" si="27"/>
        <v>4.3076361690223077</v>
      </c>
      <c r="O337" s="8">
        <f t="shared" si="28"/>
        <v>0.17295466498369622</v>
      </c>
      <c r="P337" s="8">
        <f t="shared" si="29"/>
        <v>11.57943661971831</v>
      </c>
    </row>
    <row r="338" spans="1:16" x14ac:dyDescent="0.35">
      <c r="A338" s="1">
        <v>5336</v>
      </c>
      <c r="B338" s="1" t="s">
        <v>89</v>
      </c>
      <c r="C338" s="1" t="s">
        <v>25</v>
      </c>
      <c r="D338" s="1" t="s">
        <v>20</v>
      </c>
      <c r="E338" s="5">
        <v>45535</v>
      </c>
      <c r="F338" s="5">
        <v>45573</v>
      </c>
      <c r="G338" s="2">
        <v>1085.24</v>
      </c>
      <c r="H338" s="3">
        <v>343429</v>
      </c>
      <c r="I338" s="3">
        <v>15590</v>
      </c>
      <c r="J338" s="3">
        <v>372</v>
      </c>
      <c r="K338" s="2">
        <v>37408.32</v>
      </c>
      <c r="L338" s="6">
        <f t="shared" si="25"/>
        <v>4.5395118059336867E-2</v>
      </c>
      <c r="M338" s="6">
        <f t="shared" si="26"/>
        <v>2.3861449647209751E-2</v>
      </c>
      <c r="N338" s="7">
        <f t="shared" si="27"/>
        <v>34.470089565441747</v>
      </c>
      <c r="O338" s="8">
        <f t="shared" si="28"/>
        <v>6.9611289288005126E-2</v>
      </c>
      <c r="P338" s="8">
        <f t="shared" si="29"/>
        <v>2.9173118279569894</v>
      </c>
    </row>
    <row r="339" spans="1:16" x14ac:dyDescent="0.35">
      <c r="A339" s="1">
        <v>5337</v>
      </c>
      <c r="B339" s="1" t="s">
        <v>147</v>
      </c>
      <c r="C339" s="1" t="s">
        <v>41</v>
      </c>
      <c r="D339" s="1" t="s">
        <v>18</v>
      </c>
      <c r="E339" s="5">
        <v>45507</v>
      </c>
      <c r="F339" s="5">
        <v>45518</v>
      </c>
      <c r="G339" s="2">
        <v>516.16</v>
      </c>
      <c r="H339" s="3">
        <v>156413</v>
      </c>
      <c r="I339" s="3">
        <v>2266</v>
      </c>
      <c r="J339" s="3">
        <v>64</v>
      </c>
      <c r="K339" s="2">
        <v>3242.24</v>
      </c>
      <c r="L339" s="6">
        <f t="shared" si="25"/>
        <v>1.4487286862345201E-2</v>
      </c>
      <c r="M339" s="6">
        <f t="shared" si="26"/>
        <v>2.8243601059135041E-2</v>
      </c>
      <c r="N339" s="7">
        <f t="shared" si="27"/>
        <v>6.2814631122132676</v>
      </c>
      <c r="O339" s="8">
        <f t="shared" si="28"/>
        <v>0.22778464254192407</v>
      </c>
      <c r="P339" s="8">
        <f t="shared" si="29"/>
        <v>8.0649999999999995</v>
      </c>
    </row>
    <row r="340" spans="1:16" x14ac:dyDescent="0.35">
      <c r="A340" s="1">
        <v>5338</v>
      </c>
      <c r="B340" s="1" t="s">
        <v>111</v>
      </c>
      <c r="C340" s="1" t="s">
        <v>25</v>
      </c>
      <c r="D340" s="1" t="s">
        <v>26</v>
      </c>
      <c r="E340" s="5">
        <v>45603</v>
      </c>
      <c r="F340" s="5">
        <v>45610</v>
      </c>
      <c r="G340" s="2">
        <v>2673.05</v>
      </c>
      <c r="H340" s="3">
        <v>382958</v>
      </c>
      <c r="I340" s="3">
        <v>7617</v>
      </c>
      <c r="J340" s="3">
        <v>606</v>
      </c>
      <c r="K340" s="2">
        <v>31984.68</v>
      </c>
      <c r="L340" s="6">
        <f t="shared" si="25"/>
        <v>1.9889909598441606E-2</v>
      </c>
      <c r="M340" s="6">
        <f t="shared" si="26"/>
        <v>7.9558881449389524E-2</v>
      </c>
      <c r="N340" s="7">
        <f t="shared" si="27"/>
        <v>11.965612315519724</v>
      </c>
      <c r="O340" s="8">
        <f t="shared" si="28"/>
        <v>0.35093212550873049</v>
      </c>
      <c r="P340" s="8">
        <f t="shared" si="29"/>
        <v>4.4109735973597362</v>
      </c>
    </row>
    <row r="341" spans="1:16" x14ac:dyDescent="0.35">
      <c r="A341" s="1">
        <v>5339</v>
      </c>
      <c r="B341" s="1" t="s">
        <v>80</v>
      </c>
      <c r="C341" s="1" t="s">
        <v>47</v>
      </c>
      <c r="D341" s="1" t="s">
        <v>18</v>
      </c>
      <c r="E341" s="5">
        <v>45633</v>
      </c>
      <c r="F341" s="5">
        <v>45639</v>
      </c>
      <c r="G341" s="2">
        <v>3606.74</v>
      </c>
      <c r="H341" s="3">
        <v>471469</v>
      </c>
      <c r="I341" s="3">
        <v>10567</v>
      </c>
      <c r="J341" s="3">
        <v>574</v>
      </c>
      <c r="K341" s="2">
        <v>46115.16</v>
      </c>
      <c r="L341" s="6">
        <f t="shared" si="25"/>
        <v>2.2412926406614221E-2</v>
      </c>
      <c r="M341" s="6">
        <f t="shared" si="26"/>
        <v>5.4320052995173652E-2</v>
      </c>
      <c r="N341" s="7">
        <f t="shared" si="27"/>
        <v>12.785828753944006</v>
      </c>
      <c r="O341" s="8">
        <f t="shared" si="28"/>
        <v>0.34132109397179899</v>
      </c>
      <c r="P341" s="8">
        <f t="shared" si="29"/>
        <v>6.2835191637630654</v>
      </c>
    </row>
    <row r="342" spans="1:16" x14ac:dyDescent="0.35">
      <c r="A342" s="1">
        <v>5340</v>
      </c>
      <c r="B342" s="1" t="s">
        <v>68</v>
      </c>
      <c r="C342" s="1" t="s">
        <v>60</v>
      </c>
      <c r="D342" s="1" t="s">
        <v>18</v>
      </c>
      <c r="E342" s="5">
        <v>45711</v>
      </c>
      <c r="F342" s="5">
        <v>45732</v>
      </c>
      <c r="G342" s="2">
        <v>2153.1799999999998</v>
      </c>
      <c r="H342" s="3">
        <v>256943</v>
      </c>
      <c r="I342" s="3">
        <v>2560</v>
      </c>
      <c r="J342" s="3">
        <v>66</v>
      </c>
      <c r="K342" s="2">
        <v>3109.26</v>
      </c>
      <c r="L342" s="6">
        <f t="shared" si="25"/>
        <v>9.9632992531417473E-3</v>
      </c>
      <c r="M342" s="6">
        <f t="shared" si="26"/>
        <v>2.5781249999999999E-2</v>
      </c>
      <c r="N342" s="7">
        <f t="shared" si="27"/>
        <v>1.4440316183505328</v>
      </c>
      <c r="O342" s="8">
        <f t="shared" si="28"/>
        <v>0.84108593749999994</v>
      </c>
      <c r="P342" s="8">
        <f t="shared" si="29"/>
        <v>32.623939393939395</v>
      </c>
    </row>
    <row r="343" spans="1:16" x14ac:dyDescent="0.35">
      <c r="A343" s="1">
        <v>5341</v>
      </c>
      <c r="B343" s="1" t="s">
        <v>130</v>
      </c>
      <c r="C343" s="1" t="s">
        <v>41</v>
      </c>
      <c r="D343" s="1" t="s">
        <v>26</v>
      </c>
      <c r="E343" s="5">
        <v>45693</v>
      </c>
      <c r="F343" s="5">
        <v>45711</v>
      </c>
      <c r="G343" s="2">
        <v>1717.84</v>
      </c>
      <c r="H343" s="3">
        <v>295162</v>
      </c>
      <c r="I343" s="3">
        <v>6576</v>
      </c>
      <c r="J343" s="3">
        <v>158</v>
      </c>
      <c r="K343" s="2">
        <v>8969.66</v>
      </c>
      <c r="L343" s="6">
        <f t="shared" si="25"/>
        <v>2.2279290694601609E-2</v>
      </c>
      <c r="M343" s="6">
        <f t="shared" si="26"/>
        <v>2.4026763990267638E-2</v>
      </c>
      <c r="N343" s="7">
        <f t="shared" si="27"/>
        <v>5.2214758068271783</v>
      </c>
      <c r="O343" s="8">
        <f t="shared" si="28"/>
        <v>0.26122871046228707</v>
      </c>
      <c r="P343" s="8">
        <f t="shared" si="29"/>
        <v>10.872405063291138</v>
      </c>
    </row>
    <row r="344" spans="1:16" x14ac:dyDescent="0.35">
      <c r="A344" s="1">
        <v>5342</v>
      </c>
      <c r="B344" s="1" t="s">
        <v>16</v>
      </c>
      <c r="C344" s="1" t="s">
        <v>17</v>
      </c>
      <c r="D344" s="1" t="s">
        <v>20</v>
      </c>
      <c r="E344" s="5">
        <v>45583</v>
      </c>
      <c r="F344" s="5">
        <v>45614</v>
      </c>
      <c r="G344" s="2">
        <v>587.39</v>
      </c>
      <c r="H344" s="3">
        <v>59213</v>
      </c>
      <c r="I344" s="3">
        <v>1264</v>
      </c>
      <c r="J344" s="3">
        <v>38</v>
      </c>
      <c r="K344" s="2">
        <v>1002.82</v>
      </c>
      <c r="L344" s="6">
        <f t="shared" si="25"/>
        <v>2.1346663739381554E-2</v>
      </c>
      <c r="M344" s="6">
        <f t="shared" si="26"/>
        <v>3.0063291139240507E-2</v>
      </c>
      <c r="N344" s="7">
        <f t="shared" si="27"/>
        <v>1.7072473143907796</v>
      </c>
      <c r="O344" s="8">
        <f t="shared" si="28"/>
        <v>0.46470727848101262</v>
      </c>
      <c r="P344" s="8">
        <f t="shared" si="29"/>
        <v>15.457631578947368</v>
      </c>
    </row>
    <row r="345" spans="1:16" x14ac:dyDescent="0.35">
      <c r="A345" s="1">
        <v>5343</v>
      </c>
      <c r="B345" s="1" t="s">
        <v>62</v>
      </c>
      <c r="C345" s="1" t="s">
        <v>25</v>
      </c>
      <c r="D345" s="1" t="s">
        <v>20</v>
      </c>
      <c r="E345" s="5">
        <v>45739</v>
      </c>
      <c r="F345" s="5">
        <v>45751</v>
      </c>
      <c r="G345" s="2">
        <v>287.97000000000003</v>
      </c>
      <c r="H345" s="3">
        <v>47757</v>
      </c>
      <c r="I345" s="3">
        <v>2020</v>
      </c>
      <c r="J345" s="3">
        <v>81</v>
      </c>
      <c r="K345" s="2">
        <v>2894.94</v>
      </c>
      <c r="L345" s="6">
        <f t="shared" si="25"/>
        <v>4.2297464246079108E-2</v>
      </c>
      <c r="M345" s="6">
        <f t="shared" si="26"/>
        <v>4.00990099009901E-2</v>
      </c>
      <c r="N345" s="7">
        <f t="shared" si="27"/>
        <v>10.052922179393686</v>
      </c>
      <c r="O345" s="8">
        <f t="shared" si="28"/>
        <v>0.14255940594059408</v>
      </c>
      <c r="P345" s="8">
        <f t="shared" si="29"/>
        <v>3.5551851851851857</v>
      </c>
    </row>
    <row r="346" spans="1:16" x14ac:dyDescent="0.35">
      <c r="A346" s="1">
        <v>5344</v>
      </c>
      <c r="B346" s="1" t="s">
        <v>124</v>
      </c>
      <c r="C346" s="1" t="s">
        <v>28</v>
      </c>
      <c r="D346" s="1" t="s">
        <v>20</v>
      </c>
      <c r="E346" s="5">
        <v>45729</v>
      </c>
      <c r="F346" s="5">
        <v>45770</v>
      </c>
      <c r="G346" s="2">
        <v>9136.7000000000007</v>
      </c>
      <c r="H346" s="3">
        <v>494946</v>
      </c>
      <c r="I346" s="3">
        <v>10791</v>
      </c>
      <c r="J346" s="3">
        <v>1017</v>
      </c>
      <c r="K346" s="2">
        <v>36357.75</v>
      </c>
      <c r="L346" s="6">
        <f t="shared" si="25"/>
        <v>2.1802378441284503E-2</v>
      </c>
      <c r="M346" s="6">
        <f t="shared" si="26"/>
        <v>9.4245204336947455E-2</v>
      </c>
      <c r="N346" s="7">
        <f t="shared" si="27"/>
        <v>3.9793087219674494</v>
      </c>
      <c r="O346" s="8">
        <f t="shared" si="28"/>
        <v>0.84669632100824765</v>
      </c>
      <c r="P346" s="8">
        <f t="shared" si="29"/>
        <v>8.983972468043266</v>
      </c>
    </row>
    <row r="347" spans="1:16" x14ac:dyDescent="0.35">
      <c r="A347" s="1">
        <v>5345</v>
      </c>
      <c r="B347" s="1" t="s">
        <v>35</v>
      </c>
      <c r="C347" s="1" t="s">
        <v>22</v>
      </c>
      <c r="D347" s="1" t="s">
        <v>18</v>
      </c>
      <c r="E347" s="5">
        <v>45539</v>
      </c>
      <c r="F347" s="5">
        <v>45549</v>
      </c>
      <c r="G347" s="2">
        <v>407.8</v>
      </c>
      <c r="H347" s="3">
        <v>318590</v>
      </c>
      <c r="I347" s="3">
        <v>11056</v>
      </c>
      <c r="J347" s="3">
        <v>1151</v>
      </c>
      <c r="K347" s="2">
        <v>72409.41</v>
      </c>
      <c r="L347" s="6">
        <f t="shared" si="25"/>
        <v>3.4702909695847328E-2</v>
      </c>
      <c r="M347" s="6">
        <f t="shared" si="26"/>
        <v>0.10410636758321273</v>
      </c>
      <c r="N347" s="7">
        <f t="shared" si="27"/>
        <v>177.56108386463953</v>
      </c>
      <c r="O347" s="8">
        <f t="shared" si="28"/>
        <v>3.6884949348769902E-2</v>
      </c>
      <c r="P347" s="8">
        <f t="shared" si="29"/>
        <v>0.35430060816681147</v>
      </c>
    </row>
    <row r="348" spans="1:16" x14ac:dyDescent="0.35">
      <c r="A348" s="1">
        <v>5346</v>
      </c>
      <c r="B348" s="1" t="s">
        <v>140</v>
      </c>
      <c r="C348" s="1" t="s">
        <v>41</v>
      </c>
      <c r="D348" s="1" t="s">
        <v>23</v>
      </c>
      <c r="E348" s="5">
        <v>45476</v>
      </c>
      <c r="F348" s="5">
        <v>45487</v>
      </c>
      <c r="G348" s="2">
        <v>580.16999999999996</v>
      </c>
      <c r="H348" s="3">
        <v>188982</v>
      </c>
      <c r="I348" s="3">
        <v>3793</v>
      </c>
      <c r="J348" s="3">
        <v>95</v>
      </c>
      <c r="K348" s="2">
        <v>3345.9</v>
      </c>
      <c r="L348" s="6">
        <f t="shared" si="25"/>
        <v>2.0070694563503404E-2</v>
      </c>
      <c r="M348" s="6">
        <f t="shared" si="26"/>
        <v>2.5046137621935145E-2</v>
      </c>
      <c r="N348" s="7">
        <f t="shared" si="27"/>
        <v>5.7671027457469366</v>
      </c>
      <c r="O348" s="8">
        <f t="shared" si="28"/>
        <v>0.1529580806749275</v>
      </c>
      <c r="P348" s="8">
        <f t="shared" si="29"/>
        <v>6.1070526315789468</v>
      </c>
    </row>
    <row r="349" spans="1:16" x14ac:dyDescent="0.35">
      <c r="A349" s="1">
        <v>5347</v>
      </c>
      <c r="B349" s="1" t="s">
        <v>48</v>
      </c>
      <c r="C349" s="1" t="s">
        <v>17</v>
      </c>
      <c r="D349" s="1" t="s">
        <v>18</v>
      </c>
      <c r="E349" s="5">
        <v>45728</v>
      </c>
      <c r="F349" s="5">
        <v>45756</v>
      </c>
      <c r="G349" s="2">
        <v>2357.85</v>
      </c>
      <c r="H349" s="3">
        <v>291093</v>
      </c>
      <c r="I349" s="3">
        <v>7367</v>
      </c>
      <c r="J349" s="3">
        <v>174</v>
      </c>
      <c r="K349" s="2">
        <v>12835.98</v>
      </c>
      <c r="L349" s="6">
        <f t="shared" si="25"/>
        <v>2.5308063058884962E-2</v>
      </c>
      <c r="M349" s="6">
        <f t="shared" si="26"/>
        <v>2.3618840776435456E-2</v>
      </c>
      <c r="N349" s="7">
        <f t="shared" si="27"/>
        <v>5.4439340924995232</v>
      </c>
      <c r="O349" s="8">
        <f t="shared" si="28"/>
        <v>0.32005565359033528</v>
      </c>
      <c r="P349" s="8">
        <f t="shared" si="29"/>
        <v>13.550862068965516</v>
      </c>
    </row>
    <row r="350" spans="1:16" x14ac:dyDescent="0.35">
      <c r="A350" s="1">
        <v>5348</v>
      </c>
      <c r="B350" s="1" t="s">
        <v>34</v>
      </c>
      <c r="C350" s="1" t="s">
        <v>22</v>
      </c>
      <c r="D350" s="1" t="s">
        <v>38</v>
      </c>
      <c r="E350" s="5">
        <v>45727</v>
      </c>
      <c r="F350" s="5">
        <v>45756</v>
      </c>
      <c r="G350" s="2">
        <v>279.47000000000003</v>
      </c>
      <c r="H350" s="3">
        <v>481843</v>
      </c>
      <c r="I350" s="3">
        <v>12856</v>
      </c>
      <c r="J350" s="3">
        <v>884</v>
      </c>
      <c r="K350" s="2">
        <v>83626.399999999994</v>
      </c>
      <c r="L350" s="6">
        <f t="shared" si="25"/>
        <v>2.6680889833410468E-2</v>
      </c>
      <c r="M350" s="6">
        <f t="shared" si="26"/>
        <v>6.8761667703795895E-2</v>
      </c>
      <c r="N350" s="7">
        <f t="shared" si="27"/>
        <v>299.23211793752455</v>
      </c>
      <c r="O350" s="8">
        <f t="shared" si="28"/>
        <v>2.1738487865588053E-2</v>
      </c>
      <c r="P350" s="8">
        <f t="shared" si="29"/>
        <v>0.31614253393665159</v>
      </c>
    </row>
    <row r="351" spans="1:16" x14ac:dyDescent="0.35">
      <c r="A351" s="1">
        <v>5349</v>
      </c>
      <c r="B351" s="1" t="s">
        <v>112</v>
      </c>
      <c r="C351" s="1" t="s">
        <v>37</v>
      </c>
      <c r="D351" s="1" t="s">
        <v>38</v>
      </c>
      <c r="E351" s="5">
        <v>45674</v>
      </c>
      <c r="F351" s="5">
        <v>45707</v>
      </c>
      <c r="G351" s="2">
        <v>6681.61</v>
      </c>
      <c r="H351" s="3">
        <v>232323</v>
      </c>
      <c r="I351" s="3">
        <v>3160</v>
      </c>
      <c r="J351" s="3">
        <v>72</v>
      </c>
      <c r="K351" s="2">
        <v>12303.36</v>
      </c>
      <c r="L351" s="6">
        <f t="shared" si="25"/>
        <v>1.3601752732187515E-2</v>
      </c>
      <c r="M351" s="6">
        <f t="shared" si="26"/>
        <v>2.2784810126582278E-2</v>
      </c>
      <c r="N351" s="7">
        <f t="shared" si="27"/>
        <v>1.8413765544531933</v>
      </c>
      <c r="O351" s="8">
        <f t="shared" si="28"/>
        <v>2.1144335443037972</v>
      </c>
      <c r="P351" s="8">
        <f t="shared" si="29"/>
        <v>92.800138888888881</v>
      </c>
    </row>
    <row r="352" spans="1:16" x14ac:dyDescent="0.35">
      <c r="A352" s="1">
        <v>5350</v>
      </c>
      <c r="B352" s="1" t="s">
        <v>70</v>
      </c>
      <c r="C352" s="1" t="s">
        <v>41</v>
      </c>
      <c r="D352" s="1" t="s">
        <v>38</v>
      </c>
      <c r="E352" s="5">
        <v>45739</v>
      </c>
      <c r="F352" s="5">
        <v>45756</v>
      </c>
      <c r="G352" s="2">
        <v>2057.54</v>
      </c>
      <c r="H352" s="3">
        <v>336200</v>
      </c>
      <c r="I352" s="3">
        <v>5571</v>
      </c>
      <c r="J352" s="3">
        <v>153</v>
      </c>
      <c r="K352" s="2">
        <v>6159.78</v>
      </c>
      <c r="L352" s="6">
        <f t="shared" si="25"/>
        <v>1.6570493753718024E-2</v>
      </c>
      <c r="M352" s="6">
        <f t="shared" si="26"/>
        <v>2.7463651050080775E-2</v>
      </c>
      <c r="N352" s="7">
        <f t="shared" si="27"/>
        <v>2.9937595380891744</v>
      </c>
      <c r="O352" s="8">
        <f t="shared" si="28"/>
        <v>0.36933046131753722</v>
      </c>
      <c r="P352" s="8">
        <f t="shared" si="29"/>
        <v>13.447973856209151</v>
      </c>
    </row>
    <row r="353" spans="1:16" x14ac:dyDescent="0.35">
      <c r="A353" s="1">
        <v>5351</v>
      </c>
      <c r="B353" s="1" t="s">
        <v>112</v>
      </c>
      <c r="C353" s="1" t="s">
        <v>37</v>
      </c>
      <c r="D353" s="1" t="s">
        <v>20</v>
      </c>
      <c r="E353" s="5">
        <v>45486</v>
      </c>
      <c r="F353" s="5">
        <v>45490</v>
      </c>
      <c r="G353" s="2">
        <v>6417.32</v>
      </c>
      <c r="H353" s="3">
        <v>229436</v>
      </c>
      <c r="I353" s="3">
        <v>1329</v>
      </c>
      <c r="J353" s="3">
        <v>45</v>
      </c>
      <c r="K353" s="2">
        <v>8578.35</v>
      </c>
      <c r="L353" s="6">
        <f t="shared" si="25"/>
        <v>5.7924650011332134E-3</v>
      </c>
      <c r="M353" s="6">
        <f t="shared" si="26"/>
        <v>3.3860045146726865E-2</v>
      </c>
      <c r="N353" s="7">
        <f t="shared" si="27"/>
        <v>1.3367496088709929</v>
      </c>
      <c r="O353" s="8">
        <f t="shared" si="28"/>
        <v>4.828683220466516</v>
      </c>
      <c r="P353" s="8">
        <f t="shared" si="29"/>
        <v>142.6071111111111</v>
      </c>
    </row>
    <row r="354" spans="1:16" x14ac:dyDescent="0.35">
      <c r="A354" s="1">
        <v>5352</v>
      </c>
      <c r="B354" s="1" t="s">
        <v>59</v>
      </c>
      <c r="C354" s="1" t="s">
        <v>60</v>
      </c>
      <c r="D354" s="1" t="s">
        <v>38</v>
      </c>
      <c r="E354" s="5">
        <v>45638</v>
      </c>
      <c r="F354" s="5">
        <v>45642</v>
      </c>
      <c r="G354" s="2">
        <v>709.56</v>
      </c>
      <c r="H354" s="3">
        <v>57782</v>
      </c>
      <c r="I354" s="3">
        <v>837</v>
      </c>
      <c r="J354" s="3">
        <v>25</v>
      </c>
      <c r="K354" s="2">
        <v>1581.5</v>
      </c>
      <c r="L354" s="6">
        <f t="shared" si="25"/>
        <v>1.4485479907237548E-2</v>
      </c>
      <c r="M354" s="6">
        <f t="shared" si="26"/>
        <v>2.986857825567503E-2</v>
      </c>
      <c r="N354" s="7">
        <f t="shared" si="27"/>
        <v>2.2288460454366086</v>
      </c>
      <c r="O354" s="8">
        <f t="shared" si="28"/>
        <v>0.84774193548387089</v>
      </c>
      <c r="P354" s="8">
        <f t="shared" si="29"/>
        <v>28.382399999999997</v>
      </c>
    </row>
    <row r="355" spans="1:16" x14ac:dyDescent="0.35">
      <c r="A355" s="1">
        <v>5353</v>
      </c>
      <c r="B355" s="1" t="s">
        <v>30</v>
      </c>
      <c r="C355" s="1" t="s">
        <v>25</v>
      </c>
      <c r="D355" s="1" t="s">
        <v>26</v>
      </c>
      <c r="E355" s="5">
        <v>45550</v>
      </c>
      <c r="F355" s="5">
        <v>45560</v>
      </c>
      <c r="G355" s="2">
        <v>129.74</v>
      </c>
      <c r="H355" s="3">
        <v>60066</v>
      </c>
      <c r="I355" s="3">
        <v>2237</v>
      </c>
      <c r="J355" s="3">
        <v>131</v>
      </c>
      <c r="K355" s="2">
        <v>13744.52</v>
      </c>
      <c r="L355" s="6">
        <f t="shared" si="25"/>
        <v>3.7242366729930407E-2</v>
      </c>
      <c r="M355" s="6">
        <f t="shared" si="26"/>
        <v>5.856057219490389E-2</v>
      </c>
      <c r="N355" s="7">
        <f t="shared" si="27"/>
        <v>105.93895483274241</v>
      </c>
      <c r="O355" s="8">
        <f t="shared" si="28"/>
        <v>5.7997317836388021E-2</v>
      </c>
      <c r="P355" s="8">
        <f t="shared" si="29"/>
        <v>0.9903816793893131</v>
      </c>
    </row>
    <row r="356" spans="1:16" x14ac:dyDescent="0.35">
      <c r="A356" s="1">
        <v>5354</v>
      </c>
      <c r="B356" s="1" t="s">
        <v>109</v>
      </c>
      <c r="C356" s="1" t="s">
        <v>28</v>
      </c>
      <c r="D356" s="1" t="s">
        <v>26</v>
      </c>
      <c r="E356" s="5">
        <v>45791</v>
      </c>
      <c r="F356" s="5">
        <v>45800</v>
      </c>
      <c r="G356" s="2">
        <v>3051.83</v>
      </c>
      <c r="H356" s="3">
        <v>340226</v>
      </c>
      <c r="I356" s="3">
        <v>14689</v>
      </c>
      <c r="J356" s="3">
        <v>1087</v>
      </c>
      <c r="K356" s="2">
        <v>67317.91</v>
      </c>
      <c r="L356" s="6">
        <f t="shared" si="25"/>
        <v>4.3174243003180242E-2</v>
      </c>
      <c r="M356" s="6">
        <f t="shared" si="26"/>
        <v>7.4000953094152083E-2</v>
      </c>
      <c r="N356" s="7">
        <f t="shared" si="27"/>
        <v>22.058210975054312</v>
      </c>
      <c r="O356" s="8">
        <f t="shared" si="28"/>
        <v>0.20776295186874533</v>
      </c>
      <c r="P356" s="8">
        <f t="shared" si="29"/>
        <v>2.8075712971481139</v>
      </c>
    </row>
    <row r="357" spans="1:16" x14ac:dyDescent="0.35">
      <c r="A357" s="1">
        <v>5355</v>
      </c>
      <c r="B357" s="1" t="s">
        <v>127</v>
      </c>
      <c r="C357" s="1" t="s">
        <v>25</v>
      </c>
      <c r="D357" s="1" t="s">
        <v>23</v>
      </c>
      <c r="E357" s="5">
        <v>45450</v>
      </c>
      <c r="F357" s="5">
        <v>45486</v>
      </c>
      <c r="G357" s="2">
        <v>644.02</v>
      </c>
      <c r="H357" s="3">
        <v>87741</v>
      </c>
      <c r="I357" s="3">
        <v>3623</v>
      </c>
      <c r="J357" s="3">
        <v>246</v>
      </c>
      <c r="K357" s="2">
        <v>25064.94</v>
      </c>
      <c r="L357" s="6">
        <f t="shared" si="25"/>
        <v>4.1291984363068579E-2</v>
      </c>
      <c r="M357" s="6">
        <f t="shared" si="26"/>
        <v>6.7899530775600334E-2</v>
      </c>
      <c r="N357" s="7">
        <f t="shared" si="27"/>
        <v>38.919505605415978</v>
      </c>
      <c r="O357" s="8">
        <f t="shared" si="28"/>
        <v>0.17775876345569969</v>
      </c>
      <c r="P357" s="8">
        <f t="shared" si="29"/>
        <v>2.6179674796747965</v>
      </c>
    </row>
    <row r="358" spans="1:16" x14ac:dyDescent="0.35">
      <c r="A358" s="1">
        <v>5356</v>
      </c>
      <c r="B358" s="1" t="s">
        <v>96</v>
      </c>
      <c r="C358" s="1" t="s">
        <v>41</v>
      </c>
      <c r="D358" s="1" t="s">
        <v>18</v>
      </c>
      <c r="E358" s="5">
        <v>45817</v>
      </c>
      <c r="F358" s="5">
        <v>45860</v>
      </c>
      <c r="G358" s="2">
        <v>502.82</v>
      </c>
      <c r="H358" s="3">
        <v>153769</v>
      </c>
      <c r="I358" s="3">
        <v>5996</v>
      </c>
      <c r="J358" s="3">
        <v>172</v>
      </c>
      <c r="K358" s="2">
        <v>9561.48</v>
      </c>
      <c r="L358" s="6">
        <f t="shared" si="25"/>
        <v>3.8993555267966884E-2</v>
      </c>
      <c r="M358" s="6">
        <f t="shared" si="26"/>
        <v>2.8685790527018012E-2</v>
      </c>
      <c r="N358" s="7">
        <f t="shared" si="27"/>
        <v>19.01571138777296</v>
      </c>
      <c r="O358" s="8">
        <f t="shared" si="28"/>
        <v>8.3859239492995327E-2</v>
      </c>
      <c r="P358" s="8">
        <f t="shared" si="29"/>
        <v>2.9233720930232558</v>
      </c>
    </row>
    <row r="359" spans="1:16" x14ac:dyDescent="0.35">
      <c r="A359" s="1">
        <v>5357</v>
      </c>
      <c r="B359" s="1" t="s">
        <v>69</v>
      </c>
      <c r="C359" s="1" t="s">
        <v>47</v>
      </c>
      <c r="D359" s="1" t="s">
        <v>26</v>
      </c>
      <c r="E359" s="5">
        <v>45566</v>
      </c>
      <c r="F359" s="5">
        <v>45580</v>
      </c>
      <c r="G359" s="2">
        <v>927.86</v>
      </c>
      <c r="H359" s="3">
        <v>89046</v>
      </c>
      <c r="I359" s="3">
        <v>1399</v>
      </c>
      <c r="J359" s="3">
        <v>43</v>
      </c>
      <c r="K359" s="2">
        <v>3150.61</v>
      </c>
      <c r="L359" s="6">
        <f t="shared" si="25"/>
        <v>1.5710980841362892E-2</v>
      </c>
      <c r="M359" s="6">
        <f t="shared" si="26"/>
        <v>3.0736240171551108E-2</v>
      </c>
      <c r="N359" s="7">
        <f t="shared" si="27"/>
        <v>3.3955661414437524</v>
      </c>
      <c r="O359" s="8">
        <f t="shared" si="28"/>
        <v>0.66323087919942814</v>
      </c>
      <c r="P359" s="8">
        <f t="shared" si="29"/>
        <v>21.578139534883721</v>
      </c>
    </row>
    <row r="360" spans="1:16" x14ac:dyDescent="0.35">
      <c r="A360" s="1">
        <v>5358</v>
      </c>
      <c r="B360" s="1" t="s">
        <v>102</v>
      </c>
      <c r="C360" s="1" t="s">
        <v>28</v>
      </c>
      <c r="D360" s="1" t="s">
        <v>26</v>
      </c>
      <c r="E360" s="5">
        <v>45652</v>
      </c>
      <c r="F360" s="5">
        <v>45689</v>
      </c>
      <c r="G360" s="2">
        <v>2723.97</v>
      </c>
      <c r="H360" s="3">
        <v>124212</v>
      </c>
      <c r="I360" s="3">
        <v>9625</v>
      </c>
      <c r="J360" s="3">
        <v>582</v>
      </c>
      <c r="K360" s="2">
        <v>59946</v>
      </c>
      <c r="L360" s="6">
        <f t="shared" si="25"/>
        <v>7.7488487424725472E-2</v>
      </c>
      <c r="M360" s="6">
        <f t="shared" si="26"/>
        <v>6.0467532467532469E-2</v>
      </c>
      <c r="N360" s="7">
        <f t="shared" si="27"/>
        <v>22.006850295708105</v>
      </c>
      <c r="O360" s="8">
        <f t="shared" si="28"/>
        <v>0.28300987012987011</v>
      </c>
      <c r="P360" s="8">
        <f t="shared" si="29"/>
        <v>4.6803608247422677</v>
      </c>
    </row>
    <row r="361" spans="1:16" x14ac:dyDescent="0.35">
      <c r="A361" s="1">
        <v>5359</v>
      </c>
      <c r="B361" s="1" t="s">
        <v>33</v>
      </c>
      <c r="C361" s="1" t="s">
        <v>22</v>
      </c>
      <c r="D361" s="1" t="s">
        <v>18</v>
      </c>
      <c r="E361" s="5">
        <v>45549</v>
      </c>
      <c r="F361" s="5">
        <v>45583</v>
      </c>
      <c r="G361" s="2">
        <v>189.95</v>
      </c>
      <c r="H361" s="3">
        <v>118720</v>
      </c>
      <c r="I361" s="3">
        <v>5486</v>
      </c>
      <c r="J361" s="3">
        <v>415</v>
      </c>
      <c r="K361" s="2">
        <v>27435.65</v>
      </c>
      <c r="L361" s="6">
        <f t="shared" si="25"/>
        <v>4.6209568733153641E-2</v>
      </c>
      <c r="M361" s="6">
        <f t="shared" si="26"/>
        <v>7.564710171345243E-2</v>
      </c>
      <c r="N361" s="7">
        <f t="shared" si="27"/>
        <v>144.43616741247698</v>
      </c>
      <c r="O361" s="8">
        <f t="shared" si="28"/>
        <v>3.4624498724024788E-2</v>
      </c>
      <c r="P361" s="8">
        <f t="shared" si="29"/>
        <v>0.45771084337349394</v>
      </c>
    </row>
    <row r="362" spans="1:16" x14ac:dyDescent="0.35">
      <c r="A362" s="1">
        <v>5360</v>
      </c>
      <c r="B362" s="1" t="s">
        <v>50</v>
      </c>
      <c r="C362" s="1" t="s">
        <v>22</v>
      </c>
      <c r="D362" s="1" t="s">
        <v>20</v>
      </c>
      <c r="E362" s="5">
        <v>45559</v>
      </c>
      <c r="F362" s="5">
        <v>45567</v>
      </c>
      <c r="G362" s="2">
        <v>576.98</v>
      </c>
      <c r="H362" s="3">
        <v>295889</v>
      </c>
      <c r="I362" s="3">
        <v>16959</v>
      </c>
      <c r="J362" s="3">
        <v>833</v>
      </c>
      <c r="K362" s="2">
        <v>23765.49</v>
      </c>
      <c r="L362" s="6">
        <f t="shared" si="25"/>
        <v>5.7315412198493357E-2</v>
      </c>
      <c r="M362" s="6">
        <f t="shared" si="26"/>
        <v>4.9118462173477206E-2</v>
      </c>
      <c r="N362" s="7">
        <f t="shared" si="27"/>
        <v>41.189451974071893</v>
      </c>
      <c r="O362" s="8">
        <f t="shared" si="28"/>
        <v>3.4022053187098299E-2</v>
      </c>
      <c r="P362" s="8">
        <f t="shared" si="29"/>
        <v>0.69265306122448977</v>
      </c>
    </row>
    <row r="363" spans="1:16" x14ac:dyDescent="0.35">
      <c r="A363" s="1">
        <v>5361</v>
      </c>
      <c r="B363" s="1" t="s">
        <v>70</v>
      </c>
      <c r="C363" s="1" t="s">
        <v>41</v>
      </c>
      <c r="D363" s="1" t="s">
        <v>38</v>
      </c>
      <c r="E363" s="5">
        <v>45532</v>
      </c>
      <c r="F363" s="5">
        <v>45577</v>
      </c>
      <c r="G363" s="2">
        <v>737.45</v>
      </c>
      <c r="H363" s="3">
        <v>82489</v>
      </c>
      <c r="I363" s="3">
        <v>1284</v>
      </c>
      <c r="J363" s="3">
        <v>12</v>
      </c>
      <c r="K363" s="2">
        <v>713.76</v>
      </c>
      <c r="L363" s="6">
        <f t="shared" si="25"/>
        <v>1.556571179187528E-2</v>
      </c>
      <c r="M363" s="6">
        <f t="shared" si="26"/>
        <v>9.3457943925233638E-3</v>
      </c>
      <c r="N363" s="7">
        <f t="shared" si="27"/>
        <v>0.96787578818902964</v>
      </c>
      <c r="O363" s="8">
        <f t="shared" si="28"/>
        <v>0.57433800623052966</v>
      </c>
      <c r="P363" s="8">
        <f t="shared" si="29"/>
        <v>61.454166666666673</v>
      </c>
    </row>
    <row r="364" spans="1:16" x14ac:dyDescent="0.35">
      <c r="A364" s="1">
        <v>5362</v>
      </c>
      <c r="B364" s="1" t="s">
        <v>122</v>
      </c>
      <c r="C364" s="1" t="s">
        <v>28</v>
      </c>
      <c r="D364" s="1" t="s">
        <v>20</v>
      </c>
      <c r="E364" s="5">
        <v>45454</v>
      </c>
      <c r="F364" s="5">
        <v>45462</v>
      </c>
      <c r="G364" s="2">
        <v>8563.5300000000007</v>
      </c>
      <c r="H364" s="3">
        <v>352119</v>
      </c>
      <c r="I364" s="3">
        <v>8340</v>
      </c>
      <c r="J364" s="3">
        <v>598</v>
      </c>
      <c r="K364" s="2">
        <v>60720.92</v>
      </c>
      <c r="L364" s="6">
        <f t="shared" si="25"/>
        <v>2.3685174614263928E-2</v>
      </c>
      <c r="M364" s="6">
        <f t="shared" si="26"/>
        <v>7.1702637889688253E-2</v>
      </c>
      <c r="N364" s="7">
        <f t="shared" si="27"/>
        <v>7.0906413593459696</v>
      </c>
      <c r="O364" s="8">
        <f t="shared" si="28"/>
        <v>1.0268021582733813</v>
      </c>
      <c r="P364" s="8">
        <f t="shared" si="29"/>
        <v>14.320284280936455</v>
      </c>
    </row>
    <row r="365" spans="1:16" x14ac:dyDescent="0.35">
      <c r="A365" s="1">
        <v>5363</v>
      </c>
      <c r="B365" s="1" t="s">
        <v>110</v>
      </c>
      <c r="C365" s="1" t="s">
        <v>17</v>
      </c>
      <c r="D365" s="1" t="s">
        <v>18</v>
      </c>
      <c r="E365" s="5">
        <v>45460</v>
      </c>
      <c r="F365" s="5">
        <v>45505</v>
      </c>
      <c r="G365" s="2">
        <v>1035.81</v>
      </c>
      <c r="H365" s="3">
        <v>155995</v>
      </c>
      <c r="I365" s="3">
        <v>2759</v>
      </c>
      <c r="J365" s="3">
        <v>41</v>
      </c>
      <c r="K365" s="2">
        <v>1405.48</v>
      </c>
      <c r="L365" s="6">
        <f t="shared" si="25"/>
        <v>1.7686464309753517E-2</v>
      </c>
      <c r="M365" s="6">
        <f t="shared" si="26"/>
        <v>1.4860456687205509E-2</v>
      </c>
      <c r="N365" s="7">
        <f t="shared" si="27"/>
        <v>1.3568897770826698</v>
      </c>
      <c r="O365" s="8">
        <f t="shared" si="28"/>
        <v>0.37542950344327652</v>
      </c>
      <c r="P365" s="8">
        <f t="shared" si="29"/>
        <v>25.263658536585364</v>
      </c>
    </row>
    <row r="366" spans="1:16" x14ac:dyDescent="0.35">
      <c r="A366" s="1">
        <v>5364</v>
      </c>
      <c r="B366" s="1" t="s">
        <v>57</v>
      </c>
      <c r="C366" s="1" t="s">
        <v>41</v>
      </c>
      <c r="D366" s="1" t="s">
        <v>23</v>
      </c>
      <c r="E366" s="5">
        <v>45735</v>
      </c>
      <c r="F366" s="5">
        <v>45744</v>
      </c>
      <c r="G366" s="2">
        <v>3424.92</v>
      </c>
      <c r="H366" s="3">
        <v>379703</v>
      </c>
      <c r="I366" s="3">
        <v>13279</v>
      </c>
      <c r="J366" s="3">
        <v>270</v>
      </c>
      <c r="K366" s="2">
        <v>6960.6</v>
      </c>
      <c r="L366" s="6">
        <f t="shared" si="25"/>
        <v>3.4972070275978859E-2</v>
      </c>
      <c r="M366" s="6">
        <f t="shared" si="26"/>
        <v>2.0332856389788389E-2</v>
      </c>
      <c r="N366" s="7">
        <f t="shared" si="27"/>
        <v>2.032339441505203</v>
      </c>
      <c r="O366" s="8">
        <f t="shared" si="28"/>
        <v>0.2579200240982002</v>
      </c>
      <c r="P366" s="8">
        <f t="shared" si="29"/>
        <v>12.684888888888889</v>
      </c>
    </row>
    <row r="367" spans="1:16" x14ac:dyDescent="0.35">
      <c r="A367" s="1">
        <v>5365</v>
      </c>
      <c r="B367" s="1" t="s">
        <v>126</v>
      </c>
      <c r="C367" s="1" t="s">
        <v>28</v>
      </c>
      <c r="D367" s="1" t="s">
        <v>38</v>
      </c>
      <c r="E367" s="5">
        <v>45579</v>
      </c>
      <c r="F367" s="5">
        <v>45620</v>
      </c>
      <c r="G367" s="2">
        <v>9446.0300000000007</v>
      </c>
      <c r="H367" s="3">
        <v>379969</v>
      </c>
      <c r="I367" s="3">
        <v>25475</v>
      </c>
      <c r="J367" s="3">
        <v>2316</v>
      </c>
      <c r="K367" s="2">
        <v>169392.24</v>
      </c>
      <c r="L367" s="6">
        <f t="shared" si="25"/>
        <v>6.7044943140098276E-2</v>
      </c>
      <c r="M367" s="6">
        <f t="shared" si="26"/>
        <v>9.0912659470068699E-2</v>
      </c>
      <c r="N367" s="7">
        <f t="shared" si="27"/>
        <v>17.932638367652864</v>
      </c>
      <c r="O367" s="8">
        <f t="shared" si="28"/>
        <v>0.37079607458292446</v>
      </c>
      <c r="P367" s="8">
        <f t="shared" si="29"/>
        <v>4.0785967184801386</v>
      </c>
    </row>
    <row r="368" spans="1:16" x14ac:dyDescent="0.35">
      <c r="A368" s="1">
        <v>5366</v>
      </c>
      <c r="B368" s="1" t="s">
        <v>94</v>
      </c>
      <c r="C368" s="1" t="s">
        <v>37</v>
      </c>
      <c r="D368" s="1" t="s">
        <v>18</v>
      </c>
      <c r="E368" s="5">
        <v>45761</v>
      </c>
      <c r="F368" s="5">
        <v>45801</v>
      </c>
      <c r="G368" s="2">
        <v>9829.9699999999993</v>
      </c>
      <c r="H368" s="3">
        <v>309996</v>
      </c>
      <c r="I368" s="3">
        <v>2344</v>
      </c>
      <c r="J368" s="3">
        <v>44</v>
      </c>
      <c r="K368" s="2">
        <v>8649.52</v>
      </c>
      <c r="L368" s="6">
        <f t="shared" si="25"/>
        <v>7.5613878888759851E-3</v>
      </c>
      <c r="M368" s="6">
        <f t="shared" si="26"/>
        <v>1.877133105802048E-2</v>
      </c>
      <c r="N368" s="7">
        <f t="shared" si="27"/>
        <v>0.87991316351931903</v>
      </c>
      <c r="O368" s="8">
        <f t="shared" si="28"/>
        <v>4.1936732081911261</v>
      </c>
      <c r="P368" s="8">
        <f t="shared" si="29"/>
        <v>223.40840909090909</v>
      </c>
    </row>
    <row r="369" spans="1:16" x14ac:dyDescent="0.35">
      <c r="A369" s="1">
        <v>5367</v>
      </c>
      <c r="B369" s="1" t="s">
        <v>49</v>
      </c>
      <c r="C369" s="1" t="s">
        <v>41</v>
      </c>
      <c r="D369" s="1" t="s">
        <v>18</v>
      </c>
      <c r="E369" s="5">
        <v>45728</v>
      </c>
      <c r="F369" s="5">
        <v>45733</v>
      </c>
      <c r="G369" s="2">
        <v>2890.75</v>
      </c>
      <c r="H369" s="3">
        <v>414147</v>
      </c>
      <c r="I369" s="3">
        <v>16476</v>
      </c>
      <c r="J369" s="3">
        <v>227</v>
      </c>
      <c r="K369" s="2">
        <v>7590.88</v>
      </c>
      <c r="L369" s="6">
        <f t="shared" si="25"/>
        <v>3.9782975610109454E-2</v>
      </c>
      <c r="M369" s="6">
        <f t="shared" si="26"/>
        <v>1.3777615926195679E-2</v>
      </c>
      <c r="N369" s="7">
        <f t="shared" si="27"/>
        <v>2.6259206088385367</v>
      </c>
      <c r="O369" s="8">
        <f t="shared" si="28"/>
        <v>0.17545217285748968</v>
      </c>
      <c r="P369" s="8">
        <f t="shared" si="29"/>
        <v>12.734581497797357</v>
      </c>
    </row>
    <row r="370" spans="1:16" x14ac:dyDescent="0.35">
      <c r="A370" s="1">
        <v>5368</v>
      </c>
      <c r="B370" s="1" t="s">
        <v>135</v>
      </c>
      <c r="C370" s="1" t="s">
        <v>41</v>
      </c>
      <c r="D370" s="1" t="s">
        <v>26</v>
      </c>
      <c r="E370" s="5">
        <v>45551</v>
      </c>
      <c r="F370" s="5">
        <v>45580</v>
      </c>
      <c r="G370" s="2">
        <v>3090.41</v>
      </c>
      <c r="H370" s="3">
        <v>457161</v>
      </c>
      <c r="I370" s="3">
        <v>9841</v>
      </c>
      <c r="J370" s="3">
        <v>180</v>
      </c>
      <c r="K370" s="2">
        <v>5954.4</v>
      </c>
      <c r="L370" s="6">
        <f t="shared" si="25"/>
        <v>2.1526333173652171E-2</v>
      </c>
      <c r="M370" s="6">
        <f t="shared" si="26"/>
        <v>1.8290824103241541E-2</v>
      </c>
      <c r="N370" s="7">
        <f t="shared" si="27"/>
        <v>1.9267346403875214</v>
      </c>
      <c r="O370" s="8">
        <f t="shared" si="28"/>
        <v>0.31403414287165937</v>
      </c>
      <c r="P370" s="8">
        <f t="shared" si="29"/>
        <v>17.168944444444442</v>
      </c>
    </row>
    <row r="371" spans="1:16" x14ac:dyDescent="0.35">
      <c r="A371" s="1">
        <v>5369</v>
      </c>
      <c r="B371" s="1" t="s">
        <v>67</v>
      </c>
      <c r="C371" s="1" t="s">
        <v>60</v>
      </c>
      <c r="D371" s="1" t="s">
        <v>38</v>
      </c>
      <c r="E371" s="5">
        <v>45715</v>
      </c>
      <c r="F371" s="5">
        <v>45738</v>
      </c>
      <c r="G371" s="2">
        <v>2684.84</v>
      </c>
      <c r="H371" s="3">
        <v>168118</v>
      </c>
      <c r="I371" s="3">
        <v>1071</v>
      </c>
      <c r="J371" s="3">
        <v>18</v>
      </c>
      <c r="K371" s="2">
        <v>1369.44</v>
      </c>
      <c r="L371" s="6">
        <f t="shared" si="25"/>
        <v>6.3705254642572482E-3</v>
      </c>
      <c r="M371" s="6">
        <f t="shared" si="26"/>
        <v>1.680672268907563E-2</v>
      </c>
      <c r="N371" s="7">
        <f t="shared" si="27"/>
        <v>0.51006391442320587</v>
      </c>
      <c r="O371" s="8">
        <f t="shared" si="28"/>
        <v>2.5068534080298788</v>
      </c>
      <c r="P371" s="8">
        <f t="shared" si="29"/>
        <v>149.1577777777778</v>
      </c>
    </row>
    <row r="372" spans="1:16" x14ac:dyDescent="0.35">
      <c r="A372" s="1">
        <v>5370</v>
      </c>
      <c r="B372" s="1" t="s">
        <v>51</v>
      </c>
      <c r="C372" s="1" t="s">
        <v>25</v>
      </c>
      <c r="D372" s="1" t="s">
        <v>26</v>
      </c>
      <c r="E372" s="5">
        <v>45737</v>
      </c>
      <c r="F372" s="5">
        <v>45757</v>
      </c>
      <c r="G372" s="2">
        <v>1412.03</v>
      </c>
      <c r="H372" s="3">
        <v>433139</v>
      </c>
      <c r="I372" s="3">
        <v>20964</v>
      </c>
      <c r="J372" s="3">
        <v>635</v>
      </c>
      <c r="K372" s="2">
        <v>66401.95</v>
      </c>
      <c r="L372" s="6">
        <f t="shared" si="25"/>
        <v>4.840016715188427E-2</v>
      </c>
      <c r="M372" s="6">
        <f t="shared" si="26"/>
        <v>3.0290020988361002E-2</v>
      </c>
      <c r="N372" s="7">
        <f t="shared" si="27"/>
        <v>47.025877637160683</v>
      </c>
      <c r="O372" s="8">
        <f t="shared" si="28"/>
        <v>6.7354989505819501E-2</v>
      </c>
      <c r="P372" s="8">
        <f t="shared" si="29"/>
        <v>2.2236692913385827</v>
      </c>
    </row>
    <row r="373" spans="1:16" x14ac:dyDescent="0.35">
      <c r="A373" s="1">
        <v>5371</v>
      </c>
      <c r="B373" s="1" t="s">
        <v>62</v>
      </c>
      <c r="C373" s="1" t="s">
        <v>25</v>
      </c>
      <c r="D373" s="1" t="s">
        <v>23</v>
      </c>
      <c r="E373" s="5">
        <v>45549</v>
      </c>
      <c r="F373" s="5">
        <v>45588</v>
      </c>
      <c r="G373" s="2">
        <v>1984.22</v>
      </c>
      <c r="H373" s="3">
        <v>343886</v>
      </c>
      <c r="I373" s="3">
        <v>6464</v>
      </c>
      <c r="J373" s="3">
        <v>516</v>
      </c>
      <c r="K373" s="2">
        <v>50588.639999999999</v>
      </c>
      <c r="L373" s="6">
        <f t="shared" si="25"/>
        <v>1.8796926888561907E-2</v>
      </c>
      <c r="M373" s="6">
        <f t="shared" si="26"/>
        <v>7.9826732673267328E-2</v>
      </c>
      <c r="N373" s="7">
        <f t="shared" si="27"/>
        <v>25.495479331928919</v>
      </c>
      <c r="O373" s="8">
        <f t="shared" si="28"/>
        <v>0.30696472772277228</v>
      </c>
      <c r="P373" s="8">
        <f t="shared" si="29"/>
        <v>3.8453875968992248</v>
      </c>
    </row>
    <row r="374" spans="1:16" x14ac:dyDescent="0.35">
      <c r="A374" s="1">
        <v>5372</v>
      </c>
      <c r="B374" s="1" t="s">
        <v>79</v>
      </c>
      <c r="C374" s="1" t="s">
        <v>28</v>
      </c>
      <c r="D374" s="1" t="s">
        <v>26</v>
      </c>
      <c r="E374" s="5">
        <v>45523</v>
      </c>
      <c r="F374" s="5">
        <v>45553</v>
      </c>
      <c r="G374" s="2">
        <v>10146.719999999999</v>
      </c>
      <c r="H374" s="3">
        <v>416703</v>
      </c>
      <c r="I374" s="3">
        <v>29970</v>
      </c>
      <c r="J374" s="3">
        <v>1060</v>
      </c>
      <c r="K374" s="2">
        <v>110685.2</v>
      </c>
      <c r="L374" s="6">
        <f t="shared" si="25"/>
        <v>7.1921728425281314E-2</v>
      </c>
      <c r="M374" s="6">
        <f t="shared" si="26"/>
        <v>3.5368702035368703E-2</v>
      </c>
      <c r="N374" s="7">
        <f t="shared" si="27"/>
        <v>10.908470914738951</v>
      </c>
      <c r="O374" s="8">
        <f t="shared" si="28"/>
        <v>0.33856256256256256</v>
      </c>
      <c r="P374" s="8">
        <f t="shared" si="29"/>
        <v>9.5723773584905647</v>
      </c>
    </row>
    <row r="375" spans="1:16" x14ac:dyDescent="0.35">
      <c r="A375" s="1">
        <v>5373</v>
      </c>
      <c r="B375" s="1" t="s">
        <v>63</v>
      </c>
      <c r="C375" s="1" t="s">
        <v>17</v>
      </c>
      <c r="D375" s="1" t="s">
        <v>18</v>
      </c>
      <c r="E375" s="5">
        <v>45706</v>
      </c>
      <c r="F375" s="5">
        <v>45721</v>
      </c>
      <c r="G375" s="2">
        <v>2578.35</v>
      </c>
      <c r="H375" s="3">
        <v>337480</v>
      </c>
      <c r="I375" s="3">
        <v>6134</v>
      </c>
      <c r="J375" s="3">
        <v>218</v>
      </c>
      <c r="K375" s="2">
        <v>14178.72</v>
      </c>
      <c r="L375" s="6">
        <f t="shared" si="25"/>
        <v>1.8175891904705463E-2</v>
      </c>
      <c r="M375" s="6">
        <f t="shared" si="26"/>
        <v>3.5539615259210955E-2</v>
      </c>
      <c r="N375" s="7">
        <f t="shared" si="27"/>
        <v>5.499144801908197</v>
      </c>
      <c r="O375" s="8">
        <f t="shared" si="28"/>
        <v>0.42033746331920441</v>
      </c>
      <c r="P375" s="8">
        <f t="shared" si="29"/>
        <v>11.827293577981651</v>
      </c>
    </row>
    <row r="376" spans="1:16" x14ac:dyDescent="0.35">
      <c r="A376" s="1">
        <v>5374</v>
      </c>
      <c r="B376" s="1" t="s">
        <v>75</v>
      </c>
      <c r="C376" s="1" t="s">
        <v>22</v>
      </c>
      <c r="D376" s="1" t="s">
        <v>38</v>
      </c>
      <c r="E376" s="5">
        <v>45817</v>
      </c>
      <c r="F376" s="5">
        <v>45841</v>
      </c>
      <c r="G376" s="2">
        <v>268.36</v>
      </c>
      <c r="H376" s="3">
        <v>260545</v>
      </c>
      <c r="I376" s="3">
        <v>6921</v>
      </c>
      <c r="J376" s="3">
        <v>317</v>
      </c>
      <c r="K376" s="2">
        <v>30520.76</v>
      </c>
      <c r="L376" s="6">
        <f t="shared" si="25"/>
        <v>2.656354948281487E-2</v>
      </c>
      <c r="M376" s="6">
        <f t="shared" si="26"/>
        <v>4.580262967779223E-2</v>
      </c>
      <c r="N376" s="7">
        <f t="shared" si="27"/>
        <v>113.73066030705021</v>
      </c>
      <c r="O376" s="8">
        <f t="shared" si="28"/>
        <v>3.8774743534171367E-2</v>
      </c>
      <c r="P376" s="8">
        <f t="shared" si="29"/>
        <v>0.84656151419558368</v>
      </c>
    </row>
    <row r="377" spans="1:16" x14ac:dyDescent="0.35">
      <c r="A377" s="1">
        <v>5375</v>
      </c>
      <c r="B377" s="1" t="s">
        <v>70</v>
      </c>
      <c r="C377" s="1" t="s">
        <v>41</v>
      </c>
      <c r="D377" s="1" t="s">
        <v>38</v>
      </c>
      <c r="E377" s="5">
        <v>45651</v>
      </c>
      <c r="F377" s="5">
        <v>45690</v>
      </c>
      <c r="G377" s="2">
        <v>1831.2</v>
      </c>
      <c r="H377" s="3">
        <v>473179</v>
      </c>
      <c r="I377" s="3">
        <v>18502</v>
      </c>
      <c r="J377" s="3">
        <v>404</v>
      </c>
      <c r="K377" s="2">
        <v>11918</v>
      </c>
      <c r="L377" s="6">
        <f t="shared" si="25"/>
        <v>3.9101481680294349E-2</v>
      </c>
      <c r="M377" s="6">
        <f t="shared" si="26"/>
        <v>2.1835477245703169E-2</v>
      </c>
      <c r="N377" s="7">
        <f t="shared" si="27"/>
        <v>6.5083005679335955</v>
      </c>
      <c r="O377" s="8">
        <f t="shared" si="28"/>
        <v>9.8973083990919905E-2</v>
      </c>
      <c r="P377" s="8">
        <f t="shared" si="29"/>
        <v>4.5326732673267331</v>
      </c>
    </row>
    <row r="378" spans="1:16" x14ac:dyDescent="0.35">
      <c r="A378" s="1">
        <v>5376</v>
      </c>
      <c r="B378" s="1" t="s">
        <v>72</v>
      </c>
      <c r="C378" s="1" t="s">
        <v>37</v>
      </c>
      <c r="D378" s="1" t="s">
        <v>23</v>
      </c>
      <c r="E378" s="5">
        <v>45584</v>
      </c>
      <c r="F378" s="5">
        <v>45599</v>
      </c>
      <c r="G378" s="2">
        <v>1617.19</v>
      </c>
      <c r="H378" s="3">
        <v>102744</v>
      </c>
      <c r="I378" s="3">
        <v>1256</v>
      </c>
      <c r="J378" s="3">
        <v>26</v>
      </c>
      <c r="K378" s="2">
        <v>3137.16</v>
      </c>
      <c r="L378" s="6">
        <f t="shared" si="25"/>
        <v>1.2224558125048664E-2</v>
      </c>
      <c r="M378" s="6">
        <f t="shared" si="26"/>
        <v>2.0700636942675158E-2</v>
      </c>
      <c r="N378" s="7">
        <f t="shared" si="27"/>
        <v>1.9398833779580629</v>
      </c>
      <c r="O378" s="8">
        <f t="shared" si="28"/>
        <v>1.2875716560509554</v>
      </c>
      <c r="P378" s="8">
        <f t="shared" si="29"/>
        <v>62.199615384615385</v>
      </c>
    </row>
    <row r="379" spans="1:16" x14ac:dyDescent="0.35">
      <c r="A379" s="1">
        <v>5377</v>
      </c>
      <c r="B379" s="1" t="s">
        <v>148</v>
      </c>
      <c r="C379" s="1" t="s">
        <v>60</v>
      </c>
      <c r="D379" s="1" t="s">
        <v>38</v>
      </c>
      <c r="E379" s="5">
        <v>45677</v>
      </c>
      <c r="F379" s="5">
        <v>45704</v>
      </c>
      <c r="G379" s="2">
        <v>920.54</v>
      </c>
      <c r="H379" s="3">
        <v>62241</v>
      </c>
      <c r="I379" s="3">
        <v>1226</v>
      </c>
      <c r="J379" s="3">
        <v>24</v>
      </c>
      <c r="K379" s="2">
        <v>934.8</v>
      </c>
      <c r="L379" s="6">
        <f t="shared" si="25"/>
        <v>1.9697626966147717E-2</v>
      </c>
      <c r="M379" s="6">
        <f t="shared" si="26"/>
        <v>1.9575856443719411E-2</v>
      </c>
      <c r="N379" s="7">
        <f t="shared" si="27"/>
        <v>1.0154909075108089</v>
      </c>
      <c r="O379" s="8">
        <f t="shared" si="28"/>
        <v>0.75084828711256113</v>
      </c>
      <c r="P379" s="8">
        <f t="shared" si="29"/>
        <v>38.355833333333329</v>
      </c>
    </row>
    <row r="380" spans="1:16" x14ac:dyDescent="0.35">
      <c r="A380" s="1">
        <v>5378</v>
      </c>
      <c r="B380" s="1" t="s">
        <v>133</v>
      </c>
      <c r="C380" s="1" t="s">
        <v>41</v>
      </c>
      <c r="D380" s="1" t="s">
        <v>26</v>
      </c>
      <c r="E380" s="5">
        <v>45661</v>
      </c>
      <c r="F380" s="5">
        <v>45683</v>
      </c>
      <c r="G380" s="2">
        <v>1353.67</v>
      </c>
      <c r="H380" s="3">
        <v>336733</v>
      </c>
      <c r="I380" s="3">
        <v>11878</v>
      </c>
      <c r="J380" s="3">
        <v>133</v>
      </c>
      <c r="K380" s="2">
        <v>6874.77</v>
      </c>
      <c r="L380" s="6">
        <f t="shared" si="25"/>
        <v>3.5274238046167139E-2</v>
      </c>
      <c r="M380" s="6">
        <f t="shared" si="26"/>
        <v>1.1197171240949655E-2</v>
      </c>
      <c r="N380" s="7">
        <f t="shared" si="27"/>
        <v>5.0786159108202149</v>
      </c>
      <c r="O380" s="8">
        <f t="shared" si="28"/>
        <v>0.1139644721333558</v>
      </c>
      <c r="P380" s="8">
        <f t="shared" si="29"/>
        <v>10.177969924812031</v>
      </c>
    </row>
    <row r="381" spans="1:16" x14ac:dyDescent="0.35">
      <c r="A381" s="1">
        <v>5379</v>
      </c>
      <c r="B381" s="1" t="s">
        <v>77</v>
      </c>
      <c r="C381" s="1" t="s">
        <v>22</v>
      </c>
      <c r="D381" s="1" t="s">
        <v>18</v>
      </c>
      <c r="E381" s="5">
        <v>45567</v>
      </c>
      <c r="F381" s="5">
        <v>45598</v>
      </c>
      <c r="G381" s="2">
        <v>277.64999999999998</v>
      </c>
      <c r="H381" s="3">
        <v>396646</v>
      </c>
      <c r="I381" s="3">
        <v>21363</v>
      </c>
      <c r="J381" s="3">
        <v>1807</v>
      </c>
      <c r="K381" s="2">
        <v>160588.09</v>
      </c>
      <c r="L381" s="6">
        <f t="shared" si="25"/>
        <v>5.3859108625827566E-2</v>
      </c>
      <c r="M381" s="6">
        <f t="shared" si="26"/>
        <v>8.4585498291438466E-2</v>
      </c>
      <c r="N381" s="7">
        <f t="shared" si="27"/>
        <v>578.38318026292097</v>
      </c>
      <c r="O381" s="8">
        <f t="shared" si="28"/>
        <v>1.2996770116556663E-2</v>
      </c>
      <c r="P381" s="8">
        <f t="shared" si="29"/>
        <v>0.15365246264526838</v>
      </c>
    </row>
    <row r="382" spans="1:16" x14ac:dyDescent="0.35">
      <c r="A382" s="1">
        <v>5380</v>
      </c>
      <c r="B382" s="1" t="s">
        <v>71</v>
      </c>
      <c r="C382" s="1" t="s">
        <v>47</v>
      </c>
      <c r="D382" s="1" t="s">
        <v>38</v>
      </c>
      <c r="E382" s="5">
        <v>45493</v>
      </c>
      <c r="F382" s="5">
        <v>45514</v>
      </c>
      <c r="G382" s="2">
        <v>1179.23</v>
      </c>
      <c r="H382" s="3">
        <v>206882</v>
      </c>
      <c r="I382" s="3">
        <v>3161</v>
      </c>
      <c r="J382" s="3">
        <v>109</v>
      </c>
      <c r="K382" s="2">
        <v>4355.6400000000003</v>
      </c>
      <c r="L382" s="6">
        <f t="shared" si="25"/>
        <v>1.5279241306638568E-2</v>
      </c>
      <c r="M382" s="6">
        <f t="shared" si="26"/>
        <v>3.4482758620689655E-2</v>
      </c>
      <c r="N382" s="7">
        <f t="shared" si="27"/>
        <v>3.6936305894524395</v>
      </c>
      <c r="O382" s="8">
        <f t="shared" si="28"/>
        <v>0.37305599493831065</v>
      </c>
      <c r="P382" s="8">
        <f t="shared" si="29"/>
        <v>10.81862385321101</v>
      </c>
    </row>
    <row r="383" spans="1:16" x14ac:dyDescent="0.35">
      <c r="A383" s="1">
        <v>5381</v>
      </c>
      <c r="B383" s="1" t="s">
        <v>102</v>
      </c>
      <c r="C383" s="1" t="s">
        <v>28</v>
      </c>
      <c r="D383" s="1" t="s">
        <v>26</v>
      </c>
      <c r="E383" s="5">
        <v>45647</v>
      </c>
      <c r="F383" s="5">
        <v>45653</v>
      </c>
      <c r="G383" s="2">
        <v>5989.47</v>
      </c>
      <c r="H383" s="3">
        <v>301433</v>
      </c>
      <c r="I383" s="3">
        <v>6933</v>
      </c>
      <c r="J383" s="3">
        <v>215</v>
      </c>
      <c r="K383" s="2">
        <v>25354.95</v>
      </c>
      <c r="L383" s="6">
        <f t="shared" si="25"/>
        <v>2.3000136016958994E-2</v>
      </c>
      <c r="M383" s="6">
        <f t="shared" si="26"/>
        <v>3.1011106303187652E-2</v>
      </c>
      <c r="N383" s="7">
        <f t="shared" si="27"/>
        <v>4.2332543614042644</v>
      </c>
      <c r="O383" s="8">
        <f t="shared" si="28"/>
        <v>0.86390739939420169</v>
      </c>
      <c r="P383" s="8">
        <f t="shared" si="29"/>
        <v>27.858000000000001</v>
      </c>
    </row>
    <row r="384" spans="1:16" x14ac:dyDescent="0.35">
      <c r="A384" s="1">
        <v>5382</v>
      </c>
      <c r="B384" s="1" t="s">
        <v>34</v>
      </c>
      <c r="C384" s="1" t="s">
        <v>22</v>
      </c>
      <c r="D384" s="1" t="s">
        <v>23</v>
      </c>
      <c r="E384" s="5">
        <v>45450</v>
      </c>
      <c r="F384" s="5">
        <v>45456</v>
      </c>
      <c r="G384" s="2">
        <v>973.78</v>
      </c>
      <c r="H384" s="3">
        <v>499372</v>
      </c>
      <c r="I384" s="3">
        <v>16531</v>
      </c>
      <c r="J384" s="3">
        <v>1271</v>
      </c>
      <c r="K384" s="2">
        <v>108441.72</v>
      </c>
      <c r="L384" s="6">
        <f t="shared" si="25"/>
        <v>3.3103578094086171E-2</v>
      </c>
      <c r="M384" s="6">
        <f t="shared" si="26"/>
        <v>7.6885850825721372E-2</v>
      </c>
      <c r="N384" s="7">
        <f t="shared" si="27"/>
        <v>111.36162172153875</v>
      </c>
      <c r="O384" s="8">
        <f t="shared" si="28"/>
        <v>5.8906297259693909E-2</v>
      </c>
      <c r="P384" s="8">
        <f t="shared" si="29"/>
        <v>0.76615263571990555</v>
      </c>
    </row>
    <row r="385" spans="1:16" x14ac:dyDescent="0.35">
      <c r="A385" s="1">
        <v>5383</v>
      </c>
      <c r="B385" s="1" t="s">
        <v>85</v>
      </c>
      <c r="C385" s="1" t="s">
        <v>17</v>
      </c>
      <c r="D385" s="1" t="s">
        <v>23</v>
      </c>
      <c r="E385" s="5">
        <v>45647</v>
      </c>
      <c r="F385" s="5">
        <v>45657</v>
      </c>
      <c r="G385" s="2">
        <v>2071.31</v>
      </c>
      <c r="H385" s="3">
        <v>198973</v>
      </c>
      <c r="I385" s="3">
        <v>5445</v>
      </c>
      <c r="J385" s="3">
        <v>242</v>
      </c>
      <c r="K385" s="2">
        <v>11862.84</v>
      </c>
      <c r="L385" s="6">
        <f t="shared" si="25"/>
        <v>2.7365521955240158E-2</v>
      </c>
      <c r="M385" s="6">
        <f t="shared" si="26"/>
        <v>4.4444444444444446E-2</v>
      </c>
      <c r="N385" s="7">
        <f t="shared" si="27"/>
        <v>5.7272161096117919</v>
      </c>
      <c r="O385" s="8">
        <f t="shared" si="28"/>
        <v>0.38040587695133149</v>
      </c>
      <c r="P385" s="8">
        <f t="shared" si="29"/>
        <v>8.5591322314049592</v>
      </c>
    </row>
    <row r="386" spans="1:16" x14ac:dyDescent="0.35">
      <c r="A386" s="1">
        <v>5384</v>
      </c>
      <c r="B386" s="1" t="s">
        <v>32</v>
      </c>
      <c r="C386" s="1" t="s">
        <v>28</v>
      </c>
      <c r="D386" s="1" t="s">
        <v>18</v>
      </c>
      <c r="E386" s="5">
        <v>45511</v>
      </c>
      <c r="F386" s="5">
        <v>45542</v>
      </c>
      <c r="G386" s="2">
        <v>2786.04</v>
      </c>
      <c r="H386" s="3">
        <v>263830</v>
      </c>
      <c r="I386" s="3">
        <v>20241</v>
      </c>
      <c r="J386" s="3">
        <v>859</v>
      </c>
      <c r="K386" s="2">
        <v>89250.1</v>
      </c>
      <c r="L386" s="6">
        <f t="shared" ref="L386:L449" si="30">IFERROR(I386/H386,0)</f>
        <v>7.6719857483985895E-2</v>
      </c>
      <c r="M386" s="6">
        <f t="shared" ref="M386:M449" si="31">IFERROR(J386/I386,0)</f>
        <v>4.2438614692949954E-2</v>
      </c>
      <c r="N386" s="7">
        <f t="shared" ref="N386:N449" si="32">IFERROR(K386/G386,0)</f>
        <v>32.034751834144522</v>
      </c>
      <c r="O386" s="8">
        <f t="shared" ref="O386:O449" si="33">IFERROR(G386/I386,0)</f>
        <v>0.13764339706536238</v>
      </c>
      <c r="P386" s="8">
        <f t="shared" ref="P386:P449" si="34">IFERROR(G386/J386,0)</f>
        <v>3.2433527357392316</v>
      </c>
    </row>
    <row r="387" spans="1:16" x14ac:dyDescent="0.35">
      <c r="A387" s="1">
        <v>5385</v>
      </c>
      <c r="B387" s="1" t="s">
        <v>130</v>
      </c>
      <c r="C387" s="1" t="s">
        <v>41</v>
      </c>
      <c r="D387" s="1" t="s">
        <v>18</v>
      </c>
      <c r="E387" s="5">
        <v>45611</v>
      </c>
      <c r="F387" s="5">
        <v>45623</v>
      </c>
      <c r="G387" s="2">
        <v>1483.89</v>
      </c>
      <c r="H387" s="3">
        <v>172746</v>
      </c>
      <c r="I387" s="3">
        <v>3064</v>
      </c>
      <c r="J387" s="3">
        <v>78</v>
      </c>
      <c r="K387" s="2">
        <v>1783.08</v>
      </c>
      <c r="L387" s="6">
        <f t="shared" si="30"/>
        <v>1.7737024301575723E-2</v>
      </c>
      <c r="M387" s="6">
        <f t="shared" si="31"/>
        <v>2.5456919060052218E-2</v>
      </c>
      <c r="N387" s="7">
        <f t="shared" si="32"/>
        <v>1.2016254574126113</v>
      </c>
      <c r="O387" s="8">
        <f t="shared" si="33"/>
        <v>0.48429830287206271</v>
      </c>
      <c r="P387" s="8">
        <f t="shared" si="34"/>
        <v>19.024230769230769</v>
      </c>
    </row>
    <row r="388" spans="1:16" x14ac:dyDescent="0.35">
      <c r="A388" s="1">
        <v>5386</v>
      </c>
      <c r="B388" s="1" t="s">
        <v>135</v>
      </c>
      <c r="C388" s="1" t="s">
        <v>41</v>
      </c>
      <c r="D388" s="1" t="s">
        <v>26</v>
      </c>
      <c r="E388" s="5">
        <v>45720</v>
      </c>
      <c r="F388" s="5">
        <v>45738</v>
      </c>
      <c r="G388" s="2">
        <v>1519.91</v>
      </c>
      <c r="H388" s="3">
        <v>482510</v>
      </c>
      <c r="I388" s="3">
        <v>10741</v>
      </c>
      <c r="J388" s="3">
        <v>319</v>
      </c>
      <c r="K388" s="2">
        <v>18629.599999999999</v>
      </c>
      <c r="L388" s="6">
        <f t="shared" si="30"/>
        <v>2.2260678535159895E-2</v>
      </c>
      <c r="M388" s="6">
        <f t="shared" si="31"/>
        <v>2.9699283120752259E-2</v>
      </c>
      <c r="N388" s="7">
        <f t="shared" si="32"/>
        <v>12.257041535354066</v>
      </c>
      <c r="O388" s="8">
        <f t="shared" si="33"/>
        <v>0.14150544642025883</v>
      </c>
      <c r="P388" s="8">
        <f t="shared" si="34"/>
        <v>4.7646081504702193</v>
      </c>
    </row>
    <row r="389" spans="1:16" x14ac:dyDescent="0.35">
      <c r="A389" s="1">
        <v>5387</v>
      </c>
      <c r="B389" s="1" t="s">
        <v>132</v>
      </c>
      <c r="C389" s="1" t="s">
        <v>25</v>
      </c>
      <c r="D389" s="1" t="s">
        <v>18</v>
      </c>
      <c r="E389" s="5">
        <v>45514</v>
      </c>
      <c r="F389" s="5">
        <v>45540</v>
      </c>
      <c r="G389" s="2">
        <v>1269.0999999999999</v>
      </c>
      <c r="H389" s="3">
        <v>256903</v>
      </c>
      <c r="I389" s="3">
        <v>9601</v>
      </c>
      <c r="J389" s="3">
        <v>347</v>
      </c>
      <c r="K389" s="2">
        <v>27940.44</v>
      </c>
      <c r="L389" s="6">
        <f t="shared" si="30"/>
        <v>3.7372082069886299E-2</v>
      </c>
      <c r="M389" s="6">
        <f t="shared" si="31"/>
        <v>3.6142068534527651E-2</v>
      </c>
      <c r="N389" s="7">
        <f t="shared" si="32"/>
        <v>22.015948309825863</v>
      </c>
      <c r="O389" s="8">
        <f t="shared" si="33"/>
        <v>0.132184147484637</v>
      </c>
      <c r="P389" s="8">
        <f t="shared" si="34"/>
        <v>3.6573487031700287</v>
      </c>
    </row>
    <row r="390" spans="1:16" x14ac:dyDescent="0.35">
      <c r="A390" s="1">
        <v>5388</v>
      </c>
      <c r="B390" s="1" t="s">
        <v>58</v>
      </c>
      <c r="C390" s="1" t="s">
        <v>17</v>
      </c>
      <c r="D390" s="1" t="s">
        <v>18</v>
      </c>
      <c r="E390" s="5">
        <v>45812</v>
      </c>
      <c r="F390" s="5">
        <v>45851</v>
      </c>
      <c r="G390" s="2">
        <v>121.63</v>
      </c>
      <c r="H390" s="3">
        <v>20615</v>
      </c>
      <c r="I390" s="3">
        <v>393</v>
      </c>
      <c r="J390" s="3">
        <v>16</v>
      </c>
      <c r="K390" s="2">
        <v>1221.44</v>
      </c>
      <c r="L390" s="6">
        <f t="shared" si="30"/>
        <v>1.9063788503516858E-2</v>
      </c>
      <c r="M390" s="6">
        <f t="shared" si="31"/>
        <v>4.0712468193384227E-2</v>
      </c>
      <c r="N390" s="7">
        <f t="shared" si="32"/>
        <v>10.042259311025241</v>
      </c>
      <c r="O390" s="8">
        <f t="shared" si="33"/>
        <v>0.30949109414758269</v>
      </c>
      <c r="P390" s="8">
        <f t="shared" si="34"/>
        <v>7.6018749999999997</v>
      </c>
    </row>
    <row r="391" spans="1:16" x14ac:dyDescent="0.35">
      <c r="A391" s="1">
        <v>5389</v>
      </c>
      <c r="B391" s="1" t="s">
        <v>31</v>
      </c>
      <c r="C391" s="1" t="s">
        <v>25</v>
      </c>
      <c r="D391" s="1" t="s">
        <v>26</v>
      </c>
      <c r="E391" s="5">
        <v>45655</v>
      </c>
      <c r="F391" s="5">
        <v>45682</v>
      </c>
      <c r="G391" s="2">
        <v>590.38</v>
      </c>
      <c r="H391" s="3">
        <v>93711</v>
      </c>
      <c r="I391" s="3">
        <v>1737</v>
      </c>
      <c r="J391" s="3">
        <v>77</v>
      </c>
      <c r="K391" s="2">
        <v>4241.93</v>
      </c>
      <c r="L391" s="6">
        <f t="shared" si="30"/>
        <v>1.8535710855715978E-2</v>
      </c>
      <c r="M391" s="6">
        <f t="shared" si="31"/>
        <v>4.4329303396660913E-2</v>
      </c>
      <c r="N391" s="7">
        <f t="shared" si="32"/>
        <v>7.1850841830685326</v>
      </c>
      <c r="O391" s="8">
        <f t="shared" si="33"/>
        <v>0.33988485895221648</v>
      </c>
      <c r="P391" s="8">
        <f t="shared" si="34"/>
        <v>7.667272727272727</v>
      </c>
    </row>
    <row r="392" spans="1:16" x14ac:dyDescent="0.35">
      <c r="A392" s="1">
        <v>5390</v>
      </c>
      <c r="B392" s="1" t="s">
        <v>24</v>
      </c>
      <c r="C392" s="1" t="s">
        <v>25</v>
      </c>
      <c r="D392" s="1" t="s">
        <v>26</v>
      </c>
      <c r="E392" s="5">
        <v>45709</v>
      </c>
      <c r="F392" s="5">
        <v>45749</v>
      </c>
      <c r="G392" s="2">
        <v>1974.47</v>
      </c>
      <c r="H392" s="3">
        <v>280067</v>
      </c>
      <c r="I392" s="3">
        <v>12438</v>
      </c>
      <c r="J392" s="3">
        <v>568</v>
      </c>
      <c r="K392" s="2">
        <v>33619.919999999998</v>
      </c>
      <c r="L392" s="6">
        <f t="shared" si="30"/>
        <v>4.4410801701021539E-2</v>
      </c>
      <c r="M392" s="6">
        <f t="shared" si="31"/>
        <v>4.5666505869110786E-2</v>
      </c>
      <c r="N392" s="7">
        <f t="shared" si="32"/>
        <v>17.027313658855288</v>
      </c>
      <c r="O392" s="8">
        <f t="shared" si="33"/>
        <v>0.15874497507637883</v>
      </c>
      <c r="P392" s="8">
        <f t="shared" si="34"/>
        <v>3.4761795774647886</v>
      </c>
    </row>
    <row r="393" spans="1:16" x14ac:dyDescent="0.35">
      <c r="A393" s="1">
        <v>5391</v>
      </c>
      <c r="B393" s="1" t="s">
        <v>139</v>
      </c>
      <c r="C393" s="1" t="s">
        <v>60</v>
      </c>
      <c r="D393" s="1" t="s">
        <v>38</v>
      </c>
      <c r="E393" s="5">
        <v>45455</v>
      </c>
      <c r="F393" s="5">
        <v>45500</v>
      </c>
      <c r="G393" s="2">
        <v>3906.96</v>
      </c>
      <c r="H393" s="3">
        <v>324229</v>
      </c>
      <c r="I393" s="3">
        <v>5735</v>
      </c>
      <c r="J393" s="3">
        <v>134</v>
      </c>
      <c r="K393" s="2">
        <v>4116.4799999999996</v>
      </c>
      <c r="L393" s="6">
        <f t="shared" si="30"/>
        <v>1.7688115498613634E-2</v>
      </c>
      <c r="M393" s="6">
        <f t="shared" si="31"/>
        <v>2.3365300784655624E-2</v>
      </c>
      <c r="N393" s="7">
        <f t="shared" si="32"/>
        <v>1.05362737268874</v>
      </c>
      <c r="O393" s="8">
        <f t="shared" si="33"/>
        <v>0.68124847428073232</v>
      </c>
      <c r="P393" s="8">
        <f t="shared" si="34"/>
        <v>29.156417910447761</v>
      </c>
    </row>
    <row r="394" spans="1:16" x14ac:dyDescent="0.35">
      <c r="A394" s="1">
        <v>5392</v>
      </c>
      <c r="B394" s="1" t="s">
        <v>40</v>
      </c>
      <c r="C394" s="1" t="s">
        <v>41</v>
      </c>
      <c r="D394" s="1" t="s">
        <v>20</v>
      </c>
      <c r="E394" s="5">
        <v>45584</v>
      </c>
      <c r="F394" s="5">
        <v>45615</v>
      </c>
      <c r="G394" s="2">
        <v>1716.82</v>
      </c>
      <c r="H394" s="3">
        <v>281446</v>
      </c>
      <c r="I394" s="3">
        <v>7205</v>
      </c>
      <c r="J394" s="3">
        <v>127</v>
      </c>
      <c r="K394" s="2">
        <v>6457.95</v>
      </c>
      <c r="L394" s="6">
        <f t="shared" si="30"/>
        <v>2.5599937465801609E-2</v>
      </c>
      <c r="M394" s="6">
        <f t="shared" si="31"/>
        <v>1.7626648160999306E-2</v>
      </c>
      <c r="N394" s="7">
        <f t="shared" si="32"/>
        <v>3.7615766358733005</v>
      </c>
      <c r="O394" s="8">
        <f t="shared" si="33"/>
        <v>0.23828174878556557</v>
      </c>
      <c r="P394" s="8">
        <f t="shared" si="34"/>
        <v>13.518267716535432</v>
      </c>
    </row>
    <row r="395" spans="1:16" x14ac:dyDescent="0.35">
      <c r="A395" s="1">
        <v>5393</v>
      </c>
      <c r="B395" s="1" t="s">
        <v>94</v>
      </c>
      <c r="C395" s="1" t="s">
        <v>37</v>
      </c>
      <c r="D395" s="1" t="s">
        <v>38</v>
      </c>
      <c r="E395" s="5">
        <v>45723</v>
      </c>
      <c r="F395" s="5">
        <v>45767</v>
      </c>
      <c r="G395" s="2">
        <v>83.85</v>
      </c>
      <c r="H395" s="3">
        <v>4542</v>
      </c>
      <c r="I395" s="3">
        <v>27</v>
      </c>
      <c r="J395" s="3">
        <v>0</v>
      </c>
      <c r="K395" s="2">
        <v>0</v>
      </c>
      <c r="L395" s="6">
        <f t="shared" si="30"/>
        <v>5.9445178335535004E-3</v>
      </c>
      <c r="M395" s="6">
        <f t="shared" si="31"/>
        <v>0</v>
      </c>
      <c r="N395" s="7">
        <f t="shared" si="32"/>
        <v>0</v>
      </c>
      <c r="O395" s="8">
        <f t="shared" si="33"/>
        <v>3.1055555555555552</v>
      </c>
      <c r="P395" s="8">
        <f t="shared" si="34"/>
        <v>0</v>
      </c>
    </row>
    <row r="396" spans="1:16" x14ac:dyDescent="0.35">
      <c r="A396" s="1">
        <v>5394</v>
      </c>
      <c r="B396" s="1" t="s">
        <v>24</v>
      </c>
      <c r="C396" s="1" t="s">
        <v>25</v>
      </c>
      <c r="D396" s="1" t="s">
        <v>38</v>
      </c>
      <c r="E396" s="5">
        <v>45562</v>
      </c>
      <c r="F396" s="5">
        <v>45580</v>
      </c>
      <c r="G396" s="2">
        <v>1035.83</v>
      </c>
      <c r="H396" s="3">
        <v>137560</v>
      </c>
      <c r="I396" s="3">
        <v>5372</v>
      </c>
      <c r="J396" s="3">
        <v>109</v>
      </c>
      <c r="K396" s="2">
        <v>3059.63</v>
      </c>
      <c r="L396" s="6">
        <f t="shared" si="30"/>
        <v>3.9052050014539111E-2</v>
      </c>
      <c r="M396" s="6">
        <f t="shared" si="31"/>
        <v>2.0290394638868205E-2</v>
      </c>
      <c r="N396" s="7">
        <f t="shared" si="32"/>
        <v>2.9537955069847373</v>
      </c>
      <c r="O396" s="8">
        <f t="shared" si="33"/>
        <v>0.19282017870439314</v>
      </c>
      <c r="P396" s="8">
        <f t="shared" si="34"/>
        <v>9.5030275229357795</v>
      </c>
    </row>
    <row r="397" spans="1:16" x14ac:dyDescent="0.35">
      <c r="A397" s="1">
        <v>5395</v>
      </c>
      <c r="B397" s="1" t="s">
        <v>73</v>
      </c>
      <c r="C397" s="1" t="s">
        <v>47</v>
      </c>
      <c r="D397" s="1" t="s">
        <v>26</v>
      </c>
      <c r="E397" s="5">
        <v>45717</v>
      </c>
      <c r="F397" s="5">
        <v>45728</v>
      </c>
      <c r="G397" s="2">
        <v>1818.67</v>
      </c>
      <c r="H397" s="3">
        <v>170767</v>
      </c>
      <c r="I397" s="3">
        <v>5361</v>
      </c>
      <c r="J397" s="3">
        <v>106</v>
      </c>
      <c r="K397" s="2">
        <v>5761.1</v>
      </c>
      <c r="L397" s="6">
        <f t="shared" si="30"/>
        <v>3.1393653340516608E-2</v>
      </c>
      <c r="M397" s="6">
        <f t="shared" si="31"/>
        <v>1.9772430516694646E-2</v>
      </c>
      <c r="N397" s="7">
        <f t="shared" si="32"/>
        <v>3.1677544579280466</v>
      </c>
      <c r="O397" s="8">
        <f t="shared" si="33"/>
        <v>0.33924081328110428</v>
      </c>
      <c r="P397" s="8">
        <f t="shared" si="34"/>
        <v>17.157264150943398</v>
      </c>
    </row>
    <row r="398" spans="1:16" x14ac:dyDescent="0.35">
      <c r="A398" s="1">
        <v>5396</v>
      </c>
      <c r="B398" s="1" t="s">
        <v>30</v>
      </c>
      <c r="C398" s="1" t="s">
        <v>25</v>
      </c>
      <c r="D398" s="1" t="s">
        <v>20</v>
      </c>
      <c r="E398" s="5">
        <v>45506</v>
      </c>
      <c r="F398" s="5">
        <v>45532</v>
      </c>
      <c r="G398" s="2">
        <v>762.49</v>
      </c>
      <c r="H398" s="3">
        <v>127934</v>
      </c>
      <c r="I398" s="3">
        <v>3554</v>
      </c>
      <c r="J398" s="3">
        <v>83</v>
      </c>
      <c r="K398" s="2">
        <v>8083.37</v>
      </c>
      <c r="L398" s="6">
        <f t="shared" si="30"/>
        <v>2.7779949036221802E-2</v>
      </c>
      <c r="M398" s="6">
        <f t="shared" si="31"/>
        <v>2.3353967360720315E-2</v>
      </c>
      <c r="N398" s="7">
        <f t="shared" si="32"/>
        <v>10.601280016787106</v>
      </c>
      <c r="O398" s="8">
        <f t="shared" si="33"/>
        <v>0.21454417557681485</v>
      </c>
      <c r="P398" s="8">
        <f t="shared" si="34"/>
        <v>9.1866265060240959</v>
      </c>
    </row>
    <row r="399" spans="1:16" x14ac:dyDescent="0.35">
      <c r="A399" s="1">
        <v>5397</v>
      </c>
      <c r="B399" s="1" t="s">
        <v>99</v>
      </c>
      <c r="C399" s="1" t="s">
        <v>60</v>
      </c>
      <c r="D399" s="1" t="s">
        <v>18</v>
      </c>
      <c r="E399" s="5">
        <v>45631</v>
      </c>
      <c r="F399" s="5">
        <v>45676</v>
      </c>
      <c r="G399" s="2">
        <v>7930.88</v>
      </c>
      <c r="H399" s="3">
        <v>462442</v>
      </c>
      <c r="I399" s="3">
        <v>5997</v>
      </c>
      <c r="J399" s="3">
        <v>200</v>
      </c>
      <c r="K399" s="2">
        <v>17600</v>
      </c>
      <c r="L399" s="6">
        <f t="shared" si="30"/>
        <v>1.2968112757924238E-2</v>
      </c>
      <c r="M399" s="6">
        <f t="shared" si="31"/>
        <v>3.3350008337502082E-2</v>
      </c>
      <c r="N399" s="7">
        <f t="shared" si="32"/>
        <v>2.2191736604260814</v>
      </c>
      <c r="O399" s="8">
        <f t="shared" si="33"/>
        <v>1.3224745706186427</v>
      </c>
      <c r="P399" s="8">
        <f t="shared" si="34"/>
        <v>39.654400000000003</v>
      </c>
    </row>
    <row r="400" spans="1:16" x14ac:dyDescent="0.35">
      <c r="A400" s="1">
        <v>5398</v>
      </c>
      <c r="B400" s="1" t="s">
        <v>84</v>
      </c>
      <c r="C400" s="1" t="s">
        <v>22</v>
      </c>
      <c r="D400" s="1" t="s">
        <v>38</v>
      </c>
      <c r="E400" s="5">
        <v>45592</v>
      </c>
      <c r="F400" s="5">
        <v>45598</v>
      </c>
      <c r="G400" s="2">
        <v>55.43</v>
      </c>
      <c r="H400" s="3">
        <v>104589</v>
      </c>
      <c r="I400" s="3">
        <v>5811</v>
      </c>
      <c r="J400" s="3">
        <v>312</v>
      </c>
      <c r="K400" s="2">
        <v>19652.88</v>
      </c>
      <c r="L400" s="6">
        <f t="shared" si="30"/>
        <v>5.5560336173020107E-2</v>
      </c>
      <c r="M400" s="6">
        <f t="shared" si="31"/>
        <v>5.3691275167785234E-2</v>
      </c>
      <c r="N400" s="7">
        <f t="shared" si="32"/>
        <v>354.55313007396717</v>
      </c>
      <c r="O400" s="8">
        <f t="shared" si="33"/>
        <v>9.5388057133023573E-3</v>
      </c>
      <c r="P400" s="8">
        <f t="shared" si="34"/>
        <v>0.1776602564102564</v>
      </c>
    </row>
    <row r="401" spans="1:16" x14ac:dyDescent="0.35">
      <c r="A401" s="1">
        <v>5399</v>
      </c>
      <c r="B401" s="1" t="s">
        <v>86</v>
      </c>
      <c r="C401" s="1" t="s">
        <v>47</v>
      </c>
      <c r="D401" s="1" t="s">
        <v>38</v>
      </c>
      <c r="E401" s="5">
        <v>45474</v>
      </c>
      <c r="F401" s="5">
        <v>45489</v>
      </c>
      <c r="G401" s="2">
        <v>5068.51</v>
      </c>
      <c r="H401" s="3">
        <v>499853</v>
      </c>
      <c r="I401" s="3">
        <v>13453</v>
      </c>
      <c r="J401" s="3">
        <v>524</v>
      </c>
      <c r="K401" s="2">
        <v>17234.36</v>
      </c>
      <c r="L401" s="6">
        <f t="shared" si="30"/>
        <v>2.6913912690330957E-2</v>
      </c>
      <c r="M401" s="6">
        <f t="shared" si="31"/>
        <v>3.8950419980673459E-2</v>
      </c>
      <c r="N401" s="7">
        <f t="shared" si="32"/>
        <v>3.4002813450106637</v>
      </c>
      <c r="O401" s="8">
        <f t="shared" si="33"/>
        <v>0.37675685720657104</v>
      </c>
      <c r="P401" s="8">
        <f t="shared" si="34"/>
        <v>9.6727290076335883</v>
      </c>
    </row>
    <row r="402" spans="1:16" x14ac:dyDescent="0.35">
      <c r="A402" s="1">
        <v>5400</v>
      </c>
      <c r="B402" s="1" t="s">
        <v>95</v>
      </c>
      <c r="C402" s="1" t="s">
        <v>60</v>
      </c>
      <c r="D402" s="1" t="s">
        <v>23</v>
      </c>
      <c r="E402" s="5">
        <v>45814</v>
      </c>
      <c r="F402" s="5">
        <v>45845</v>
      </c>
      <c r="G402" s="2">
        <v>2797.47</v>
      </c>
      <c r="H402" s="3">
        <v>196314</v>
      </c>
      <c r="I402" s="3">
        <v>3197</v>
      </c>
      <c r="J402" s="3">
        <v>91</v>
      </c>
      <c r="K402" s="2">
        <v>2539.81</v>
      </c>
      <c r="L402" s="6">
        <f t="shared" si="30"/>
        <v>1.6285135038764428E-2</v>
      </c>
      <c r="M402" s="6">
        <f t="shared" si="31"/>
        <v>2.8464185173600252E-2</v>
      </c>
      <c r="N402" s="7">
        <f t="shared" si="32"/>
        <v>0.90789534829685403</v>
      </c>
      <c r="O402" s="8">
        <f t="shared" si="33"/>
        <v>0.87502971535814822</v>
      </c>
      <c r="P402" s="8">
        <f t="shared" si="34"/>
        <v>30.741428571428568</v>
      </c>
    </row>
    <row r="403" spans="1:16" x14ac:dyDescent="0.35">
      <c r="A403" s="1">
        <v>5401</v>
      </c>
      <c r="B403" s="1" t="s">
        <v>29</v>
      </c>
      <c r="C403" s="1" t="s">
        <v>25</v>
      </c>
      <c r="D403" s="1" t="s">
        <v>20</v>
      </c>
      <c r="E403" s="5">
        <v>45790</v>
      </c>
      <c r="F403" s="5">
        <v>45808</v>
      </c>
      <c r="G403" s="2">
        <v>3176.15</v>
      </c>
      <c r="H403" s="3">
        <v>495499</v>
      </c>
      <c r="I403" s="3">
        <v>11139</v>
      </c>
      <c r="J403" s="3">
        <v>403</v>
      </c>
      <c r="K403" s="2">
        <v>31401.759999999998</v>
      </c>
      <c r="L403" s="6">
        <f t="shared" si="30"/>
        <v>2.2480368275213471E-2</v>
      </c>
      <c r="M403" s="6">
        <f t="shared" si="31"/>
        <v>3.6179190232516381E-2</v>
      </c>
      <c r="N403" s="7">
        <f t="shared" si="32"/>
        <v>9.8867370873541862</v>
      </c>
      <c r="O403" s="8">
        <f t="shared" si="33"/>
        <v>0.28513780411167972</v>
      </c>
      <c r="P403" s="8">
        <f t="shared" si="34"/>
        <v>7.881265508684864</v>
      </c>
    </row>
    <row r="404" spans="1:16" x14ac:dyDescent="0.35">
      <c r="A404" s="1">
        <v>5402</v>
      </c>
      <c r="B404" s="1" t="s">
        <v>78</v>
      </c>
      <c r="C404" s="1" t="s">
        <v>60</v>
      </c>
      <c r="D404" s="1" t="s">
        <v>18</v>
      </c>
      <c r="E404" s="5">
        <v>45484</v>
      </c>
      <c r="F404" s="5">
        <v>45508</v>
      </c>
      <c r="G404" s="2">
        <v>5226.16</v>
      </c>
      <c r="H404" s="3">
        <v>307060</v>
      </c>
      <c r="I404" s="3">
        <v>1852</v>
      </c>
      <c r="J404" s="3">
        <v>44</v>
      </c>
      <c r="K404" s="2">
        <v>2055.6799999999998</v>
      </c>
      <c r="L404" s="6">
        <f t="shared" si="30"/>
        <v>6.031394515729825E-3</v>
      </c>
      <c r="M404" s="6">
        <f t="shared" si="31"/>
        <v>2.3758099352051837E-2</v>
      </c>
      <c r="N404" s="7">
        <f t="shared" si="32"/>
        <v>0.39334425275919604</v>
      </c>
      <c r="O404" s="8">
        <f t="shared" si="33"/>
        <v>2.8219006479481639</v>
      </c>
      <c r="P404" s="8">
        <f t="shared" si="34"/>
        <v>118.77636363636363</v>
      </c>
    </row>
    <row r="405" spans="1:16" x14ac:dyDescent="0.35">
      <c r="A405" s="1">
        <v>5403</v>
      </c>
      <c r="B405" s="1" t="s">
        <v>125</v>
      </c>
      <c r="C405" s="1" t="s">
        <v>41</v>
      </c>
      <c r="D405" s="1" t="s">
        <v>23</v>
      </c>
      <c r="E405" s="5">
        <v>45714</v>
      </c>
      <c r="F405" s="5">
        <v>45753</v>
      </c>
      <c r="G405" s="2">
        <v>2191.9899999999998</v>
      </c>
      <c r="H405" s="3">
        <v>458576</v>
      </c>
      <c r="I405" s="3">
        <v>14420</v>
      </c>
      <c r="J405" s="3">
        <v>134</v>
      </c>
      <c r="K405" s="2">
        <v>6462.82</v>
      </c>
      <c r="L405" s="6">
        <f t="shared" si="30"/>
        <v>3.1445169393949965E-2</v>
      </c>
      <c r="M405" s="6">
        <f t="shared" si="31"/>
        <v>9.2926490984743416E-3</v>
      </c>
      <c r="N405" s="7">
        <f t="shared" si="32"/>
        <v>2.9483802389609441</v>
      </c>
      <c r="O405" s="8">
        <f t="shared" si="33"/>
        <v>0.15201040221914006</v>
      </c>
      <c r="P405" s="8">
        <f t="shared" si="34"/>
        <v>16.358134328358208</v>
      </c>
    </row>
    <row r="406" spans="1:16" x14ac:dyDescent="0.35">
      <c r="A406" s="1">
        <v>5404</v>
      </c>
      <c r="B406" s="1" t="s">
        <v>102</v>
      </c>
      <c r="C406" s="1" t="s">
        <v>28</v>
      </c>
      <c r="D406" s="1" t="s">
        <v>26</v>
      </c>
      <c r="E406" s="5">
        <v>45589</v>
      </c>
      <c r="F406" s="5">
        <v>45622</v>
      </c>
      <c r="G406" s="2">
        <v>6046.48</v>
      </c>
      <c r="H406" s="3">
        <v>354217</v>
      </c>
      <c r="I406" s="3">
        <v>10959</v>
      </c>
      <c r="J406" s="3">
        <v>900</v>
      </c>
      <c r="K406" s="2">
        <v>81882</v>
      </c>
      <c r="L406" s="6">
        <f t="shared" si="30"/>
        <v>3.0938661893697931E-2</v>
      </c>
      <c r="M406" s="6">
        <f t="shared" si="31"/>
        <v>8.2124281412537636E-2</v>
      </c>
      <c r="N406" s="7">
        <f t="shared" si="32"/>
        <v>13.542093912491236</v>
      </c>
      <c r="O406" s="8">
        <f t="shared" si="33"/>
        <v>0.55173647230586731</v>
      </c>
      <c r="P406" s="8">
        <f t="shared" si="34"/>
        <v>6.7183111111111105</v>
      </c>
    </row>
    <row r="407" spans="1:16" x14ac:dyDescent="0.35">
      <c r="A407" s="1">
        <v>5405</v>
      </c>
      <c r="B407" s="1" t="s">
        <v>68</v>
      </c>
      <c r="C407" s="1" t="s">
        <v>60</v>
      </c>
      <c r="D407" s="1" t="s">
        <v>38</v>
      </c>
      <c r="E407" s="5">
        <v>45467</v>
      </c>
      <c r="F407" s="5">
        <v>45501</v>
      </c>
      <c r="G407" s="2">
        <v>1976.51</v>
      </c>
      <c r="H407" s="3">
        <v>173530</v>
      </c>
      <c r="I407" s="3">
        <v>1686</v>
      </c>
      <c r="J407" s="3">
        <v>47</v>
      </c>
      <c r="K407" s="2">
        <v>1792.11</v>
      </c>
      <c r="L407" s="6">
        <f t="shared" si="30"/>
        <v>9.7158992681380743E-3</v>
      </c>
      <c r="M407" s="6">
        <f t="shared" si="31"/>
        <v>2.7876631079478055E-2</v>
      </c>
      <c r="N407" s="7">
        <f t="shared" si="32"/>
        <v>0.90670424131423566</v>
      </c>
      <c r="O407" s="8">
        <f t="shared" si="33"/>
        <v>1.1723072360616844</v>
      </c>
      <c r="P407" s="8">
        <f t="shared" si="34"/>
        <v>42.053404255319151</v>
      </c>
    </row>
    <row r="408" spans="1:16" x14ac:dyDescent="0.35">
      <c r="A408" s="1">
        <v>5406</v>
      </c>
      <c r="B408" s="1" t="s">
        <v>111</v>
      </c>
      <c r="C408" s="1" t="s">
        <v>25</v>
      </c>
      <c r="D408" s="1" t="s">
        <v>26</v>
      </c>
      <c r="E408" s="5">
        <v>45586</v>
      </c>
      <c r="F408" s="5">
        <v>45606</v>
      </c>
      <c r="G408" s="2">
        <v>2855.03</v>
      </c>
      <c r="H408" s="3">
        <v>498260</v>
      </c>
      <c r="I408" s="3">
        <v>12371</v>
      </c>
      <c r="J408" s="3">
        <v>841</v>
      </c>
      <c r="K408" s="2">
        <v>82224.570000000007</v>
      </c>
      <c r="L408" s="6">
        <f t="shared" si="30"/>
        <v>2.4828402841889776E-2</v>
      </c>
      <c r="M408" s="6">
        <f t="shared" si="31"/>
        <v>6.7981569800339509E-2</v>
      </c>
      <c r="N408" s="7">
        <f t="shared" si="32"/>
        <v>28.799897023849137</v>
      </c>
      <c r="O408" s="8">
        <f t="shared" si="33"/>
        <v>0.23078409182766149</v>
      </c>
      <c r="P408" s="8">
        <f t="shared" si="34"/>
        <v>3.394803804994055</v>
      </c>
    </row>
    <row r="409" spans="1:16" x14ac:dyDescent="0.35">
      <c r="A409" s="1">
        <v>5407</v>
      </c>
      <c r="B409" s="1" t="s">
        <v>129</v>
      </c>
      <c r="C409" s="1" t="s">
        <v>47</v>
      </c>
      <c r="D409" s="1" t="s">
        <v>38</v>
      </c>
      <c r="E409" s="5">
        <v>45590</v>
      </c>
      <c r="F409" s="5">
        <v>45626</v>
      </c>
      <c r="G409" s="2">
        <v>2966.56</v>
      </c>
      <c r="H409" s="3">
        <v>376945</v>
      </c>
      <c r="I409" s="3">
        <v>8627</v>
      </c>
      <c r="J409" s="3">
        <v>258</v>
      </c>
      <c r="K409" s="2">
        <v>12954.18</v>
      </c>
      <c r="L409" s="6">
        <f t="shared" si="30"/>
        <v>2.2886628022655824E-2</v>
      </c>
      <c r="M409" s="6">
        <f t="shared" si="31"/>
        <v>2.9906108728410805E-2</v>
      </c>
      <c r="N409" s="7">
        <f t="shared" si="32"/>
        <v>4.3667345342753903</v>
      </c>
      <c r="O409" s="8">
        <f t="shared" si="33"/>
        <v>0.34386924771067578</v>
      </c>
      <c r="P409" s="8">
        <f t="shared" si="34"/>
        <v>11.498294573643411</v>
      </c>
    </row>
    <row r="410" spans="1:16" x14ac:dyDescent="0.35">
      <c r="A410" s="1">
        <v>5408</v>
      </c>
      <c r="B410" s="1" t="s">
        <v>40</v>
      </c>
      <c r="C410" s="1" t="s">
        <v>41</v>
      </c>
      <c r="D410" s="1" t="s">
        <v>18</v>
      </c>
      <c r="E410" s="5">
        <v>45658</v>
      </c>
      <c r="F410" s="5">
        <v>45664</v>
      </c>
      <c r="G410" s="2">
        <v>328.24</v>
      </c>
      <c r="H410" s="3">
        <v>86608</v>
      </c>
      <c r="I410" s="3">
        <v>1902</v>
      </c>
      <c r="J410" s="3">
        <v>55</v>
      </c>
      <c r="K410" s="2">
        <v>3275.8</v>
      </c>
      <c r="L410" s="6">
        <f t="shared" si="30"/>
        <v>2.1961019767227048E-2</v>
      </c>
      <c r="M410" s="6">
        <f t="shared" si="31"/>
        <v>2.8916929547844375E-2</v>
      </c>
      <c r="N410" s="7">
        <f t="shared" si="32"/>
        <v>9.9798927613941029</v>
      </c>
      <c r="O410" s="8">
        <f t="shared" si="33"/>
        <v>0.17257623554153523</v>
      </c>
      <c r="P410" s="8">
        <f t="shared" si="34"/>
        <v>5.968</v>
      </c>
    </row>
    <row r="411" spans="1:16" x14ac:dyDescent="0.35">
      <c r="A411" s="1">
        <v>5409</v>
      </c>
      <c r="B411" s="1" t="s">
        <v>94</v>
      </c>
      <c r="C411" s="1" t="s">
        <v>37</v>
      </c>
      <c r="D411" s="1" t="s">
        <v>26</v>
      </c>
      <c r="E411" s="5">
        <v>45450</v>
      </c>
      <c r="F411" s="5">
        <v>45485</v>
      </c>
      <c r="G411" s="2">
        <v>7626.71</v>
      </c>
      <c r="H411" s="3">
        <v>255844</v>
      </c>
      <c r="I411" s="3">
        <v>2022</v>
      </c>
      <c r="J411" s="3">
        <v>77</v>
      </c>
      <c r="K411" s="2">
        <v>11608.52</v>
      </c>
      <c r="L411" s="6">
        <f t="shared" si="30"/>
        <v>7.9032535451290624E-3</v>
      </c>
      <c r="M411" s="6">
        <f t="shared" si="31"/>
        <v>3.8081107814045501E-2</v>
      </c>
      <c r="N411" s="7">
        <f t="shared" si="32"/>
        <v>1.52208750562169</v>
      </c>
      <c r="O411" s="8">
        <f t="shared" si="33"/>
        <v>3.7718644906033632</v>
      </c>
      <c r="P411" s="8">
        <f t="shared" si="34"/>
        <v>99.048181818181817</v>
      </c>
    </row>
    <row r="412" spans="1:16" x14ac:dyDescent="0.35">
      <c r="A412" s="1">
        <v>5410</v>
      </c>
      <c r="B412" s="1" t="s">
        <v>33</v>
      </c>
      <c r="C412" s="1" t="s">
        <v>22</v>
      </c>
      <c r="D412" s="1" t="s">
        <v>20</v>
      </c>
      <c r="E412" s="5">
        <v>45585</v>
      </c>
      <c r="F412" s="5">
        <v>45624</v>
      </c>
      <c r="G412" s="2">
        <v>250</v>
      </c>
      <c r="H412" s="3">
        <v>227271</v>
      </c>
      <c r="I412" s="3">
        <v>13501</v>
      </c>
      <c r="J412" s="3">
        <v>1647</v>
      </c>
      <c r="K412" s="2">
        <v>85446.36</v>
      </c>
      <c r="L412" s="6">
        <f t="shared" si="30"/>
        <v>5.9404851476871225E-2</v>
      </c>
      <c r="M412" s="6">
        <f t="shared" si="31"/>
        <v>0.12199096363232353</v>
      </c>
      <c r="N412" s="7">
        <f t="shared" si="32"/>
        <v>341.78543999999999</v>
      </c>
      <c r="O412" s="8">
        <f t="shared" si="33"/>
        <v>1.8517146878009035E-2</v>
      </c>
      <c r="P412" s="8">
        <f t="shared" si="34"/>
        <v>0.15179113539769276</v>
      </c>
    </row>
    <row r="413" spans="1:16" x14ac:dyDescent="0.35">
      <c r="A413" s="1">
        <v>5411</v>
      </c>
      <c r="B413" s="1" t="s">
        <v>123</v>
      </c>
      <c r="C413" s="1" t="s">
        <v>60</v>
      </c>
      <c r="D413" s="1" t="s">
        <v>23</v>
      </c>
      <c r="E413" s="5">
        <v>45801</v>
      </c>
      <c r="F413" s="5">
        <v>45812</v>
      </c>
      <c r="G413" s="2">
        <v>2317.62</v>
      </c>
      <c r="H413" s="3">
        <v>212626</v>
      </c>
      <c r="I413" s="3">
        <v>3798</v>
      </c>
      <c r="J413" s="3">
        <v>101</v>
      </c>
      <c r="K413" s="2">
        <v>7620.45</v>
      </c>
      <c r="L413" s="6">
        <f t="shared" si="30"/>
        <v>1.7862349853733785E-2</v>
      </c>
      <c r="M413" s="6">
        <f t="shared" si="31"/>
        <v>2.6592943654555029E-2</v>
      </c>
      <c r="N413" s="7">
        <f t="shared" si="32"/>
        <v>3.2880498097185908</v>
      </c>
      <c r="O413" s="8">
        <f t="shared" si="33"/>
        <v>0.61022116903633483</v>
      </c>
      <c r="P413" s="8">
        <f t="shared" si="34"/>
        <v>22.946732673267327</v>
      </c>
    </row>
    <row r="414" spans="1:16" x14ac:dyDescent="0.35">
      <c r="A414" s="1">
        <v>5412</v>
      </c>
      <c r="B414" s="1" t="s">
        <v>32</v>
      </c>
      <c r="C414" s="1" t="s">
        <v>28</v>
      </c>
      <c r="D414" s="1" t="s">
        <v>26</v>
      </c>
      <c r="E414" s="5">
        <v>45463</v>
      </c>
      <c r="F414" s="5">
        <v>45504</v>
      </c>
      <c r="G414" s="2">
        <v>1347.18</v>
      </c>
      <c r="H414" s="3">
        <v>148860</v>
      </c>
      <c r="I414" s="3">
        <v>9111</v>
      </c>
      <c r="J414" s="3">
        <v>738</v>
      </c>
      <c r="K414" s="2">
        <v>38191.5</v>
      </c>
      <c r="L414" s="6">
        <f t="shared" si="30"/>
        <v>6.1205159209995967E-2</v>
      </c>
      <c r="M414" s="6">
        <f t="shared" si="31"/>
        <v>8.1000987816924594E-2</v>
      </c>
      <c r="N414" s="7">
        <f t="shared" si="32"/>
        <v>28.349218367256043</v>
      </c>
      <c r="O414" s="8">
        <f t="shared" si="33"/>
        <v>0.14786302271978927</v>
      </c>
      <c r="P414" s="8">
        <f t="shared" si="34"/>
        <v>1.8254471544715447</v>
      </c>
    </row>
    <row r="415" spans="1:16" x14ac:dyDescent="0.35">
      <c r="A415" s="1">
        <v>5413</v>
      </c>
      <c r="B415" s="1" t="s">
        <v>144</v>
      </c>
      <c r="C415" s="1" t="s">
        <v>28</v>
      </c>
      <c r="D415" s="1" t="s">
        <v>23</v>
      </c>
      <c r="E415" s="5">
        <v>45472</v>
      </c>
      <c r="F415" s="5">
        <v>45499</v>
      </c>
      <c r="G415" s="2">
        <v>6779.43</v>
      </c>
      <c r="H415" s="3">
        <v>463076</v>
      </c>
      <c r="I415" s="3">
        <v>17157</v>
      </c>
      <c r="J415" s="3">
        <v>1581</v>
      </c>
      <c r="K415" s="2">
        <v>112899.21</v>
      </c>
      <c r="L415" s="6">
        <f t="shared" si="30"/>
        <v>3.7050073853967816E-2</v>
      </c>
      <c r="M415" s="6">
        <f t="shared" si="31"/>
        <v>9.2148977093897536E-2</v>
      </c>
      <c r="N415" s="7">
        <f t="shared" si="32"/>
        <v>16.653200932821786</v>
      </c>
      <c r="O415" s="8">
        <f t="shared" si="33"/>
        <v>0.39514075887392902</v>
      </c>
      <c r="P415" s="8">
        <f t="shared" si="34"/>
        <v>4.2880645161290323</v>
      </c>
    </row>
    <row r="416" spans="1:16" x14ac:dyDescent="0.35">
      <c r="A416" s="1">
        <v>5414</v>
      </c>
      <c r="B416" s="1" t="s">
        <v>35</v>
      </c>
      <c r="C416" s="1" t="s">
        <v>22</v>
      </c>
      <c r="D416" s="1" t="s">
        <v>26</v>
      </c>
      <c r="E416" s="5">
        <v>45565</v>
      </c>
      <c r="F416" s="5">
        <v>45591</v>
      </c>
      <c r="G416" s="2">
        <v>94.8</v>
      </c>
      <c r="H416" s="3">
        <v>108964</v>
      </c>
      <c r="I416" s="3">
        <v>3599</v>
      </c>
      <c r="J416" s="3">
        <v>433</v>
      </c>
      <c r="K416" s="2">
        <v>13933.94</v>
      </c>
      <c r="L416" s="6">
        <f t="shared" si="30"/>
        <v>3.3029257369406408E-2</v>
      </c>
      <c r="M416" s="6">
        <f t="shared" si="31"/>
        <v>0.12031119755487635</v>
      </c>
      <c r="N416" s="7">
        <f t="shared" si="32"/>
        <v>146.98248945147679</v>
      </c>
      <c r="O416" s="8">
        <f t="shared" si="33"/>
        <v>2.6340650180605722E-2</v>
      </c>
      <c r="P416" s="8">
        <f t="shared" si="34"/>
        <v>0.21893764434180138</v>
      </c>
    </row>
    <row r="417" spans="1:16" x14ac:dyDescent="0.35">
      <c r="A417" s="1">
        <v>5415</v>
      </c>
      <c r="B417" s="1" t="s">
        <v>108</v>
      </c>
      <c r="C417" s="1" t="s">
        <v>47</v>
      </c>
      <c r="D417" s="1" t="s">
        <v>38</v>
      </c>
      <c r="E417" s="5">
        <v>45769</v>
      </c>
      <c r="F417" s="5">
        <v>45809</v>
      </c>
      <c r="G417" s="2">
        <v>1054.3699999999999</v>
      </c>
      <c r="H417" s="3">
        <v>136048</v>
      </c>
      <c r="I417" s="3">
        <v>3629</v>
      </c>
      <c r="J417" s="3">
        <v>90</v>
      </c>
      <c r="K417" s="2">
        <v>4076.1</v>
      </c>
      <c r="L417" s="6">
        <f t="shared" si="30"/>
        <v>2.6674409032106314E-2</v>
      </c>
      <c r="M417" s="6">
        <f t="shared" si="31"/>
        <v>2.4800220446403967E-2</v>
      </c>
      <c r="N417" s="7">
        <f t="shared" si="32"/>
        <v>3.8659104488936524</v>
      </c>
      <c r="O417" s="8">
        <f t="shared" si="33"/>
        <v>0.29054009368972167</v>
      </c>
      <c r="P417" s="8">
        <f t="shared" si="34"/>
        <v>11.715222222222222</v>
      </c>
    </row>
    <row r="418" spans="1:16" x14ac:dyDescent="0.35">
      <c r="A418" s="1">
        <v>5416</v>
      </c>
      <c r="B418" s="1" t="s">
        <v>134</v>
      </c>
      <c r="C418" s="1" t="s">
        <v>17</v>
      </c>
      <c r="D418" s="1" t="s">
        <v>23</v>
      </c>
      <c r="E418" s="5">
        <v>45515</v>
      </c>
      <c r="F418" s="5">
        <v>45520</v>
      </c>
      <c r="G418" s="2">
        <v>428.8</v>
      </c>
      <c r="H418" s="3">
        <v>64676</v>
      </c>
      <c r="I418" s="3">
        <v>746</v>
      </c>
      <c r="J418" s="3">
        <v>31</v>
      </c>
      <c r="K418" s="2">
        <v>839.79</v>
      </c>
      <c r="L418" s="6">
        <f t="shared" si="30"/>
        <v>1.1534417712907415E-2</v>
      </c>
      <c r="M418" s="6">
        <f t="shared" si="31"/>
        <v>4.1554959785522788E-2</v>
      </c>
      <c r="N418" s="7">
        <f t="shared" si="32"/>
        <v>1.9584654850746268</v>
      </c>
      <c r="O418" s="8">
        <f t="shared" si="33"/>
        <v>0.57479892761394102</v>
      </c>
      <c r="P418" s="8">
        <f t="shared" si="34"/>
        <v>13.832258064516129</v>
      </c>
    </row>
    <row r="419" spans="1:16" x14ac:dyDescent="0.35">
      <c r="A419" s="1">
        <v>5417</v>
      </c>
      <c r="B419" s="1" t="s">
        <v>31</v>
      </c>
      <c r="C419" s="1" t="s">
        <v>25</v>
      </c>
      <c r="D419" s="1" t="s">
        <v>38</v>
      </c>
      <c r="E419" s="5">
        <v>45773</v>
      </c>
      <c r="F419" s="5">
        <v>45778</v>
      </c>
      <c r="G419" s="2">
        <v>2666.84</v>
      </c>
      <c r="H419" s="3">
        <v>349520</v>
      </c>
      <c r="I419" s="3">
        <v>13060</v>
      </c>
      <c r="J419" s="3">
        <v>353</v>
      </c>
      <c r="K419" s="2">
        <v>14254.14</v>
      </c>
      <c r="L419" s="6">
        <f t="shared" si="30"/>
        <v>3.7365529869535362E-2</v>
      </c>
      <c r="M419" s="6">
        <f t="shared" si="31"/>
        <v>2.7029096477794792E-2</v>
      </c>
      <c r="N419" s="7">
        <f t="shared" si="32"/>
        <v>5.3449550779199351</v>
      </c>
      <c r="O419" s="8">
        <f t="shared" si="33"/>
        <v>0.20419908116385913</v>
      </c>
      <c r="P419" s="8">
        <f t="shared" si="34"/>
        <v>7.5547875354107656</v>
      </c>
    </row>
    <row r="420" spans="1:16" x14ac:dyDescent="0.35">
      <c r="A420" s="1">
        <v>5418</v>
      </c>
      <c r="B420" s="1" t="s">
        <v>34</v>
      </c>
      <c r="C420" s="1" t="s">
        <v>22</v>
      </c>
      <c r="D420" s="1" t="s">
        <v>23</v>
      </c>
      <c r="E420" s="5">
        <v>45655</v>
      </c>
      <c r="F420" s="5">
        <v>45680</v>
      </c>
      <c r="G420" s="2">
        <v>130.69</v>
      </c>
      <c r="H420" s="3">
        <v>77790</v>
      </c>
      <c r="I420" s="3">
        <v>3861</v>
      </c>
      <c r="J420" s="3">
        <v>155</v>
      </c>
      <c r="K420" s="2">
        <v>14867.6</v>
      </c>
      <c r="L420" s="6">
        <f t="shared" si="30"/>
        <v>4.9633629001156962E-2</v>
      </c>
      <c r="M420" s="6">
        <f t="shared" si="31"/>
        <v>4.0145040145040146E-2</v>
      </c>
      <c r="N420" s="7">
        <f t="shared" si="32"/>
        <v>113.76233835794629</v>
      </c>
      <c r="O420" s="8">
        <f t="shared" si="33"/>
        <v>3.3848743848743847E-2</v>
      </c>
      <c r="P420" s="8">
        <f t="shared" si="34"/>
        <v>0.84316129032258058</v>
      </c>
    </row>
    <row r="421" spans="1:16" x14ac:dyDescent="0.35">
      <c r="A421" s="1">
        <v>5419</v>
      </c>
      <c r="B421" s="1" t="s">
        <v>59</v>
      </c>
      <c r="C421" s="1" t="s">
        <v>60</v>
      </c>
      <c r="D421" s="1" t="s">
        <v>26</v>
      </c>
      <c r="E421" s="5">
        <v>45787</v>
      </c>
      <c r="F421" s="5">
        <v>45801</v>
      </c>
      <c r="G421" s="2">
        <v>1346</v>
      </c>
      <c r="H421" s="3">
        <v>127704</v>
      </c>
      <c r="I421" s="3">
        <v>655</v>
      </c>
      <c r="J421" s="3">
        <v>13</v>
      </c>
      <c r="K421" s="2">
        <v>532.87</v>
      </c>
      <c r="L421" s="6">
        <f t="shared" si="30"/>
        <v>5.1290484244816137E-3</v>
      </c>
      <c r="M421" s="6">
        <f t="shared" si="31"/>
        <v>1.984732824427481E-2</v>
      </c>
      <c r="N421" s="7">
        <f t="shared" si="32"/>
        <v>0.39589153046062409</v>
      </c>
      <c r="O421" s="8">
        <f t="shared" si="33"/>
        <v>2.0549618320610685</v>
      </c>
      <c r="P421" s="8">
        <f t="shared" si="34"/>
        <v>103.53846153846153</v>
      </c>
    </row>
    <row r="422" spans="1:16" x14ac:dyDescent="0.35">
      <c r="A422" s="1">
        <v>5420</v>
      </c>
      <c r="B422" s="1" t="s">
        <v>136</v>
      </c>
      <c r="C422" s="1" t="s">
        <v>37</v>
      </c>
      <c r="D422" s="1" t="s">
        <v>23</v>
      </c>
      <c r="E422" s="5">
        <v>45670</v>
      </c>
      <c r="F422" s="5">
        <v>45681</v>
      </c>
      <c r="G422" s="2">
        <v>1131.27</v>
      </c>
      <c r="H422" s="3">
        <v>80805</v>
      </c>
      <c r="I422" s="3">
        <v>893</v>
      </c>
      <c r="J422" s="3">
        <v>28</v>
      </c>
      <c r="K422" s="2">
        <v>3788.4</v>
      </c>
      <c r="L422" s="6">
        <f t="shared" si="30"/>
        <v>1.1051296330672608E-2</v>
      </c>
      <c r="M422" s="6">
        <f t="shared" si="31"/>
        <v>3.1354983202687571E-2</v>
      </c>
      <c r="N422" s="7">
        <f t="shared" si="32"/>
        <v>3.348802673101912</v>
      </c>
      <c r="O422" s="8">
        <f t="shared" si="33"/>
        <v>1.2668197088465845</v>
      </c>
      <c r="P422" s="8">
        <f t="shared" si="34"/>
        <v>40.402499999999996</v>
      </c>
    </row>
    <row r="423" spans="1:16" x14ac:dyDescent="0.35">
      <c r="A423" s="1">
        <v>5421</v>
      </c>
      <c r="B423" s="1" t="s">
        <v>57</v>
      </c>
      <c r="C423" s="1" t="s">
        <v>41</v>
      </c>
      <c r="D423" s="1" t="s">
        <v>38</v>
      </c>
      <c r="E423" s="5">
        <v>45818</v>
      </c>
      <c r="F423" s="5">
        <v>45833</v>
      </c>
      <c r="G423" s="2">
        <v>1289.97</v>
      </c>
      <c r="H423" s="3">
        <v>372823</v>
      </c>
      <c r="I423" s="3">
        <v>8380</v>
      </c>
      <c r="J423" s="3">
        <v>236</v>
      </c>
      <c r="K423" s="2">
        <v>13572.36</v>
      </c>
      <c r="L423" s="6">
        <f t="shared" si="30"/>
        <v>2.2477154038243349E-2</v>
      </c>
      <c r="M423" s="6">
        <f t="shared" si="31"/>
        <v>2.8162291169451074E-2</v>
      </c>
      <c r="N423" s="7">
        <f t="shared" si="32"/>
        <v>10.52145398730203</v>
      </c>
      <c r="O423" s="8">
        <f t="shared" si="33"/>
        <v>0.15393436754176612</v>
      </c>
      <c r="P423" s="8">
        <f t="shared" si="34"/>
        <v>5.4659745762711864</v>
      </c>
    </row>
    <row r="424" spans="1:16" x14ac:dyDescent="0.35">
      <c r="A424" s="1">
        <v>5422</v>
      </c>
      <c r="B424" s="1" t="s">
        <v>62</v>
      </c>
      <c r="C424" s="1" t="s">
        <v>25</v>
      </c>
      <c r="D424" s="1" t="s">
        <v>38</v>
      </c>
      <c r="E424" s="5">
        <v>45571</v>
      </c>
      <c r="F424" s="5">
        <v>45581</v>
      </c>
      <c r="G424" s="2">
        <v>1240.5899999999999</v>
      </c>
      <c r="H424" s="3">
        <v>207110</v>
      </c>
      <c r="I424" s="3">
        <v>10355</v>
      </c>
      <c r="J424" s="3">
        <v>224</v>
      </c>
      <c r="K424" s="2">
        <v>8948.7999999999993</v>
      </c>
      <c r="L424" s="6">
        <f t="shared" si="30"/>
        <v>4.9997585823958281E-2</v>
      </c>
      <c r="M424" s="6">
        <f t="shared" si="31"/>
        <v>2.1632061805890872E-2</v>
      </c>
      <c r="N424" s="7">
        <f t="shared" si="32"/>
        <v>7.2133420388686025</v>
      </c>
      <c r="O424" s="8">
        <f t="shared" si="33"/>
        <v>0.11980589087397392</v>
      </c>
      <c r="P424" s="8">
        <f t="shared" si="34"/>
        <v>5.5383482142857137</v>
      </c>
    </row>
    <row r="425" spans="1:16" x14ac:dyDescent="0.35">
      <c r="A425" s="1">
        <v>5423</v>
      </c>
      <c r="B425" s="1" t="s">
        <v>32</v>
      </c>
      <c r="C425" s="1" t="s">
        <v>28</v>
      </c>
      <c r="D425" s="1" t="s">
        <v>20</v>
      </c>
      <c r="E425" s="5">
        <v>45786</v>
      </c>
      <c r="F425" s="5">
        <v>45791</v>
      </c>
      <c r="G425" s="2">
        <v>10935.89</v>
      </c>
      <c r="H425" s="3">
        <v>481333</v>
      </c>
      <c r="I425" s="3">
        <v>28766</v>
      </c>
      <c r="J425" s="3">
        <v>1136</v>
      </c>
      <c r="K425" s="2">
        <v>70295.679999999993</v>
      </c>
      <c r="L425" s="6">
        <f t="shared" si="30"/>
        <v>5.9763199281993966E-2</v>
      </c>
      <c r="M425" s="6">
        <f t="shared" si="31"/>
        <v>3.9491065841618579E-2</v>
      </c>
      <c r="N425" s="7">
        <f t="shared" si="32"/>
        <v>6.4279797986263576</v>
      </c>
      <c r="O425" s="8">
        <f t="shared" si="33"/>
        <v>0.38016721129110753</v>
      </c>
      <c r="P425" s="8">
        <f t="shared" si="34"/>
        <v>9.6266637323943662</v>
      </c>
    </row>
    <row r="426" spans="1:16" x14ac:dyDescent="0.35">
      <c r="A426" s="1">
        <v>5424</v>
      </c>
      <c r="B426" s="1" t="s">
        <v>122</v>
      </c>
      <c r="C426" s="1" t="s">
        <v>28</v>
      </c>
      <c r="D426" s="1" t="s">
        <v>20</v>
      </c>
      <c r="E426" s="5">
        <v>45746</v>
      </c>
      <c r="F426" s="5">
        <v>45749</v>
      </c>
      <c r="G426" s="2">
        <v>6453.04</v>
      </c>
      <c r="H426" s="3">
        <v>335049</v>
      </c>
      <c r="I426" s="3">
        <v>18701</v>
      </c>
      <c r="J426" s="3">
        <v>1245</v>
      </c>
      <c r="K426" s="2">
        <v>69732.45</v>
      </c>
      <c r="L426" s="6">
        <f t="shared" si="30"/>
        <v>5.5815716507137764E-2</v>
      </c>
      <c r="M426" s="6">
        <f t="shared" si="31"/>
        <v>6.6573980001069455E-2</v>
      </c>
      <c r="N426" s="7">
        <f t="shared" si="32"/>
        <v>10.80613943195765</v>
      </c>
      <c r="O426" s="8">
        <f t="shared" si="33"/>
        <v>0.34506390032618578</v>
      </c>
      <c r="P426" s="8">
        <f t="shared" si="34"/>
        <v>5.1831646586345377</v>
      </c>
    </row>
    <row r="427" spans="1:16" x14ac:dyDescent="0.35">
      <c r="A427" s="1">
        <v>5425</v>
      </c>
      <c r="B427" s="1" t="s">
        <v>40</v>
      </c>
      <c r="C427" s="1" t="s">
        <v>41</v>
      </c>
      <c r="D427" s="1" t="s">
        <v>18</v>
      </c>
      <c r="E427" s="5">
        <v>45603</v>
      </c>
      <c r="F427" s="5">
        <v>45620</v>
      </c>
      <c r="G427" s="2">
        <v>2207.4499999999998</v>
      </c>
      <c r="H427" s="3">
        <v>312228</v>
      </c>
      <c r="I427" s="3">
        <v>7137</v>
      </c>
      <c r="J427" s="3">
        <v>137</v>
      </c>
      <c r="K427" s="2">
        <v>4500.45</v>
      </c>
      <c r="L427" s="6">
        <f t="shared" si="30"/>
        <v>2.2858295860717168E-2</v>
      </c>
      <c r="M427" s="6">
        <f t="shared" si="31"/>
        <v>1.9195740507215918E-2</v>
      </c>
      <c r="N427" s="7">
        <f t="shared" si="32"/>
        <v>2.0387551246913862</v>
      </c>
      <c r="O427" s="8">
        <f t="shared" si="33"/>
        <v>0.30929662323104945</v>
      </c>
      <c r="P427" s="8">
        <f t="shared" si="34"/>
        <v>16.112773722627736</v>
      </c>
    </row>
    <row r="428" spans="1:16" x14ac:dyDescent="0.35">
      <c r="A428" s="1">
        <v>5426</v>
      </c>
      <c r="B428" s="1" t="s">
        <v>35</v>
      </c>
      <c r="C428" s="1" t="s">
        <v>22</v>
      </c>
      <c r="D428" s="1" t="s">
        <v>38</v>
      </c>
      <c r="E428" s="5">
        <v>45817</v>
      </c>
      <c r="F428" s="5">
        <v>45844</v>
      </c>
      <c r="G428" s="2">
        <v>264.22000000000003</v>
      </c>
      <c r="H428" s="3">
        <v>166179</v>
      </c>
      <c r="I428" s="3">
        <v>6216</v>
      </c>
      <c r="J428" s="3">
        <v>269</v>
      </c>
      <c r="K428" s="2">
        <v>15185.05</v>
      </c>
      <c r="L428" s="6">
        <f t="shared" si="30"/>
        <v>3.7405448341848245E-2</v>
      </c>
      <c r="M428" s="6">
        <f t="shared" si="31"/>
        <v>4.3275418275418275E-2</v>
      </c>
      <c r="N428" s="7">
        <f t="shared" si="32"/>
        <v>57.471236091136163</v>
      </c>
      <c r="O428" s="8">
        <f t="shared" si="33"/>
        <v>4.2506435006435007E-2</v>
      </c>
      <c r="P428" s="8">
        <f t="shared" si="34"/>
        <v>0.98223048327137552</v>
      </c>
    </row>
    <row r="429" spans="1:16" x14ac:dyDescent="0.35">
      <c r="A429" s="1">
        <v>5427</v>
      </c>
      <c r="B429" s="1" t="s">
        <v>34</v>
      </c>
      <c r="C429" s="1" t="s">
        <v>22</v>
      </c>
      <c r="D429" s="1" t="s">
        <v>20</v>
      </c>
      <c r="E429" s="5">
        <v>45753</v>
      </c>
      <c r="F429" s="5">
        <v>45794</v>
      </c>
      <c r="G429" s="2">
        <v>14.35</v>
      </c>
      <c r="H429" s="3">
        <v>14351</v>
      </c>
      <c r="I429" s="3">
        <v>565</v>
      </c>
      <c r="J429" s="3">
        <v>49</v>
      </c>
      <c r="K429" s="2">
        <v>3599.54</v>
      </c>
      <c r="L429" s="6">
        <f t="shared" si="30"/>
        <v>3.937007874015748E-2</v>
      </c>
      <c r="M429" s="6">
        <f t="shared" si="31"/>
        <v>8.6725663716814158E-2</v>
      </c>
      <c r="N429" s="7">
        <f t="shared" si="32"/>
        <v>250.83902439024391</v>
      </c>
      <c r="O429" s="8">
        <f t="shared" si="33"/>
        <v>2.5398230088495576E-2</v>
      </c>
      <c r="P429" s="8">
        <f t="shared" si="34"/>
        <v>0.29285714285714287</v>
      </c>
    </row>
    <row r="430" spans="1:16" x14ac:dyDescent="0.35">
      <c r="A430" s="1">
        <v>5428</v>
      </c>
      <c r="B430" s="1" t="s">
        <v>34</v>
      </c>
      <c r="C430" s="1" t="s">
        <v>22</v>
      </c>
      <c r="D430" s="1" t="s">
        <v>23</v>
      </c>
      <c r="E430" s="5">
        <v>45800</v>
      </c>
      <c r="F430" s="5">
        <v>45845</v>
      </c>
      <c r="G430" s="2">
        <v>501.39</v>
      </c>
      <c r="H430" s="3">
        <v>345789</v>
      </c>
      <c r="I430" s="3">
        <v>19219</v>
      </c>
      <c r="J430" s="3">
        <v>2188</v>
      </c>
      <c r="K430" s="2">
        <v>97037.8</v>
      </c>
      <c r="L430" s="6">
        <f t="shared" si="30"/>
        <v>5.5580137019974607E-2</v>
      </c>
      <c r="M430" s="6">
        <f t="shared" si="31"/>
        <v>0.11384567355221395</v>
      </c>
      <c r="N430" s="7">
        <f t="shared" si="32"/>
        <v>193.53756556772174</v>
      </c>
      <c r="O430" s="8">
        <f t="shared" si="33"/>
        <v>2.6088246006556012E-2</v>
      </c>
      <c r="P430" s="8">
        <f t="shared" si="34"/>
        <v>0.22915447897623401</v>
      </c>
    </row>
    <row r="431" spans="1:16" x14ac:dyDescent="0.35">
      <c r="A431" s="1">
        <v>5429</v>
      </c>
      <c r="B431" s="1" t="s">
        <v>132</v>
      </c>
      <c r="C431" s="1" t="s">
        <v>25</v>
      </c>
      <c r="D431" s="1" t="s">
        <v>26</v>
      </c>
      <c r="E431" s="5">
        <v>45587</v>
      </c>
      <c r="F431" s="5">
        <v>45594</v>
      </c>
      <c r="G431" s="2">
        <v>1107.25</v>
      </c>
      <c r="H431" s="3">
        <v>151263</v>
      </c>
      <c r="I431" s="3">
        <v>2851</v>
      </c>
      <c r="J431" s="3">
        <v>74</v>
      </c>
      <c r="K431" s="2">
        <v>5401.26</v>
      </c>
      <c r="L431" s="6">
        <f t="shared" si="30"/>
        <v>1.8847966786325804E-2</v>
      </c>
      <c r="M431" s="6">
        <f t="shared" si="31"/>
        <v>2.5955804980708524E-2</v>
      </c>
      <c r="N431" s="7">
        <f t="shared" si="32"/>
        <v>4.8780853465793639</v>
      </c>
      <c r="O431" s="8">
        <f t="shared" si="33"/>
        <v>0.3883725008768853</v>
      </c>
      <c r="P431" s="8">
        <f t="shared" si="34"/>
        <v>14.962837837837839</v>
      </c>
    </row>
    <row r="432" spans="1:16" x14ac:dyDescent="0.35">
      <c r="A432" s="1">
        <v>5430</v>
      </c>
      <c r="B432" s="1" t="s">
        <v>142</v>
      </c>
      <c r="C432" s="1" t="s">
        <v>41</v>
      </c>
      <c r="D432" s="1" t="s">
        <v>38</v>
      </c>
      <c r="E432" s="5">
        <v>45773</v>
      </c>
      <c r="F432" s="5">
        <v>45810</v>
      </c>
      <c r="G432" s="2">
        <v>3261.47</v>
      </c>
      <c r="H432" s="3">
        <v>497934</v>
      </c>
      <c r="I432" s="3">
        <v>14611</v>
      </c>
      <c r="J432" s="3">
        <v>265</v>
      </c>
      <c r="K432" s="2">
        <v>7897</v>
      </c>
      <c r="L432" s="6">
        <f t="shared" si="30"/>
        <v>2.934324629368551E-2</v>
      </c>
      <c r="M432" s="6">
        <f t="shared" si="31"/>
        <v>1.8137020053384436E-2</v>
      </c>
      <c r="N432" s="7">
        <f t="shared" si="32"/>
        <v>2.4213008244748537</v>
      </c>
      <c r="O432" s="8">
        <f t="shared" si="33"/>
        <v>0.22322017657928955</v>
      </c>
      <c r="P432" s="8">
        <f t="shared" si="34"/>
        <v>12.307433962264151</v>
      </c>
    </row>
    <row r="433" spans="1:16" x14ac:dyDescent="0.35">
      <c r="A433" s="1">
        <v>5431</v>
      </c>
      <c r="B433" s="1" t="s">
        <v>89</v>
      </c>
      <c r="C433" s="1" t="s">
        <v>25</v>
      </c>
      <c r="D433" s="1" t="s">
        <v>20</v>
      </c>
      <c r="E433" s="5">
        <v>45640</v>
      </c>
      <c r="F433" s="5">
        <v>45644</v>
      </c>
      <c r="G433" s="2">
        <v>410.44</v>
      </c>
      <c r="H433" s="3">
        <v>167528</v>
      </c>
      <c r="I433" s="3">
        <v>8022</v>
      </c>
      <c r="J433" s="3">
        <v>172</v>
      </c>
      <c r="K433" s="2">
        <v>15971.92</v>
      </c>
      <c r="L433" s="6">
        <f t="shared" si="30"/>
        <v>4.7884532734826415E-2</v>
      </c>
      <c r="M433" s="6">
        <f t="shared" si="31"/>
        <v>2.1441037147843432E-2</v>
      </c>
      <c r="N433" s="7">
        <f t="shared" si="32"/>
        <v>38.914140921937431</v>
      </c>
      <c r="O433" s="8">
        <f t="shared" si="33"/>
        <v>5.1164298180004987E-2</v>
      </c>
      <c r="P433" s="8">
        <f t="shared" si="34"/>
        <v>2.3862790697674416</v>
      </c>
    </row>
    <row r="434" spans="1:16" x14ac:dyDescent="0.35">
      <c r="A434" s="1">
        <v>5432</v>
      </c>
      <c r="B434" s="1" t="s">
        <v>31</v>
      </c>
      <c r="C434" s="1" t="s">
        <v>25</v>
      </c>
      <c r="D434" s="1" t="s">
        <v>18</v>
      </c>
      <c r="E434" s="5">
        <v>45660</v>
      </c>
      <c r="F434" s="5">
        <v>45671</v>
      </c>
      <c r="G434" s="2">
        <v>1547.35</v>
      </c>
      <c r="H434" s="3">
        <v>217324</v>
      </c>
      <c r="I434" s="3">
        <v>10773</v>
      </c>
      <c r="J434" s="3">
        <v>841</v>
      </c>
      <c r="K434" s="2">
        <v>61460.28</v>
      </c>
      <c r="L434" s="6">
        <f t="shared" si="30"/>
        <v>4.9571147227181533E-2</v>
      </c>
      <c r="M434" s="6">
        <f t="shared" si="31"/>
        <v>7.8065534205885079E-2</v>
      </c>
      <c r="N434" s="7">
        <f t="shared" si="32"/>
        <v>39.719701425016964</v>
      </c>
      <c r="O434" s="8">
        <f t="shared" si="33"/>
        <v>0.14363222871994802</v>
      </c>
      <c r="P434" s="8">
        <f t="shared" si="34"/>
        <v>1.8398929845422116</v>
      </c>
    </row>
    <row r="435" spans="1:16" x14ac:dyDescent="0.35">
      <c r="A435" s="1">
        <v>5433</v>
      </c>
      <c r="B435" s="1" t="s">
        <v>76</v>
      </c>
      <c r="C435" s="1" t="s">
        <v>37</v>
      </c>
      <c r="D435" s="1" t="s">
        <v>18</v>
      </c>
      <c r="E435" s="5">
        <v>45801</v>
      </c>
      <c r="F435" s="5">
        <v>45829</v>
      </c>
      <c r="G435" s="2">
        <v>7663.87</v>
      </c>
      <c r="H435" s="3">
        <v>318267</v>
      </c>
      <c r="I435" s="3">
        <v>2113</v>
      </c>
      <c r="J435" s="3">
        <v>71</v>
      </c>
      <c r="K435" s="2">
        <v>13778.97</v>
      </c>
      <c r="L435" s="6">
        <f t="shared" si="30"/>
        <v>6.6390797663596918E-3</v>
      </c>
      <c r="M435" s="6">
        <f t="shared" si="31"/>
        <v>3.3601514434453382E-2</v>
      </c>
      <c r="N435" s="7">
        <f t="shared" si="32"/>
        <v>1.7979128038445329</v>
      </c>
      <c r="O435" s="8">
        <f t="shared" si="33"/>
        <v>3.6270089919545669</v>
      </c>
      <c r="P435" s="8">
        <f t="shared" si="34"/>
        <v>107.94183098591549</v>
      </c>
    </row>
    <row r="436" spans="1:16" x14ac:dyDescent="0.35">
      <c r="A436" s="1">
        <v>5434</v>
      </c>
      <c r="B436" s="1" t="s">
        <v>71</v>
      </c>
      <c r="C436" s="1" t="s">
        <v>47</v>
      </c>
      <c r="D436" s="1" t="s">
        <v>23</v>
      </c>
      <c r="E436" s="5">
        <v>45554</v>
      </c>
      <c r="F436" s="5">
        <v>45562</v>
      </c>
      <c r="G436" s="2">
        <v>2592.8200000000002</v>
      </c>
      <c r="H436" s="3">
        <v>385836</v>
      </c>
      <c r="I436" s="3">
        <v>12895</v>
      </c>
      <c r="J436" s="3">
        <v>313</v>
      </c>
      <c r="K436" s="2">
        <v>15681.3</v>
      </c>
      <c r="L436" s="6">
        <f t="shared" si="30"/>
        <v>3.3420935319669498E-2</v>
      </c>
      <c r="M436" s="6">
        <f t="shared" si="31"/>
        <v>2.4272974020938348E-2</v>
      </c>
      <c r="N436" s="7">
        <f t="shared" si="32"/>
        <v>6.0479709351208326</v>
      </c>
      <c r="O436" s="8">
        <f t="shared" si="33"/>
        <v>0.2010717332299341</v>
      </c>
      <c r="P436" s="8">
        <f t="shared" si="34"/>
        <v>8.2837699680511179</v>
      </c>
    </row>
    <row r="437" spans="1:16" x14ac:dyDescent="0.35">
      <c r="A437" s="1">
        <v>5435</v>
      </c>
      <c r="B437" s="1" t="s">
        <v>58</v>
      </c>
      <c r="C437" s="1" t="s">
        <v>17</v>
      </c>
      <c r="D437" s="1" t="s">
        <v>23</v>
      </c>
      <c r="E437" s="5">
        <v>45473</v>
      </c>
      <c r="F437" s="5">
        <v>45485</v>
      </c>
      <c r="G437" s="2">
        <v>3460.06</v>
      </c>
      <c r="H437" s="3">
        <v>246971</v>
      </c>
      <c r="I437" s="3">
        <v>7246</v>
      </c>
      <c r="J437" s="3">
        <v>253</v>
      </c>
      <c r="K437" s="2">
        <v>13669.59</v>
      </c>
      <c r="L437" s="6">
        <f t="shared" si="30"/>
        <v>2.9339477104599325E-2</v>
      </c>
      <c r="M437" s="6">
        <f t="shared" si="31"/>
        <v>3.4915815622412368E-2</v>
      </c>
      <c r="N437" s="7">
        <f t="shared" si="32"/>
        <v>3.9506800460107629</v>
      </c>
      <c r="O437" s="8">
        <f t="shared" si="33"/>
        <v>0.47751311068175545</v>
      </c>
      <c r="P437" s="8">
        <f t="shared" si="34"/>
        <v>13.676126482213439</v>
      </c>
    </row>
    <row r="438" spans="1:16" x14ac:dyDescent="0.35">
      <c r="A438" s="1">
        <v>5436</v>
      </c>
      <c r="B438" s="1" t="s">
        <v>40</v>
      </c>
      <c r="C438" s="1" t="s">
        <v>41</v>
      </c>
      <c r="D438" s="1" t="s">
        <v>26</v>
      </c>
      <c r="E438" s="5">
        <v>45679</v>
      </c>
      <c r="F438" s="5">
        <v>45693</v>
      </c>
      <c r="G438" s="2">
        <v>1191.96</v>
      </c>
      <c r="H438" s="3">
        <v>149368</v>
      </c>
      <c r="I438" s="3">
        <v>2384</v>
      </c>
      <c r="J438" s="3">
        <v>30</v>
      </c>
      <c r="K438" s="2">
        <v>603.29999999999995</v>
      </c>
      <c r="L438" s="6">
        <f t="shared" si="30"/>
        <v>1.5960580579508329E-2</v>
      </c>
      <c r="M438" s="6">
        <f t="shared" si="31"/>
        <v>1.2583892617449664E-2</v>
      </c>
      <c r="N438" s="7">
        <f t="shared" si="32"/>
        <v>0.5061411456760293</v>
      </c>
      <c r="O438" s="8">
        <f t="shared" si="33"/>
        <v>0.49998322147651009</v>
      </c>
      <c r="P438" s="8">
        <f t="shared" si="34"/>
        <v>39.731999999999999</v>
      </c>
    </row>
    <row r="439" spans="1:16" x14ac:dyDescent="0.35">
      <c r="A439" s="1">
        <v>5437</v>
      </c>
      <c r="B439" s="1" t="s">
        <v>53</v>
      </c>
      <c r="C439" s="1" t="s">
        <v>17</v>
      </c>
      <c r="D439" s="1" t="s">
        <v>26</v>
      </c>
      <c r="E439" s="5">
        <v>45471</v>
      </c>
      <c r="F439" s="5">
        <v>45490</v>
      </c>
      <c r="G439" s="2">
        <v>413.8</v>
      </c>
      <c r="H439" s="3">
        <v>50898</v>
      </c>
      <c r="I439" s="3">
        <v>758</v>
      </c>
      <c r="J439" s="3">
        <v>15</v>
      </c>
      <c r="K439" s="2">
        <v>1175.4000000000001</v>
      </c>
      <c r="L439" s="6">
        <f t="shared" si="30"/>
        <v>1.4892530158355928E-2</v>
      </c>
      <c r="M439" s="6">
        <f t="shared" si="31"/>
        <v>1.9788918205804751E-2</v>
      </c>
      <c r="N439" s="7">
        <f t="shared" si="32"/>
        <v>2.8405026582890285</v>
      </c>
      <c r="O439" s="8">
        <f t="shared" si="33"/>
        <v>0.54591029023746707</v>
      </c>
      <c r="P439" s="8">
        <f t="shared" si="34"/>
        <v>27.586666666666666</v>
      </c>
    </row>
    <row r="440" spans="1:16" x14ac:dyDescent="0.35">
      <c r="A440" s="1">
        <v>5438</v>
      </c>
      <c r="B440" s="1" t="s">
        <v>124</v>
      </c>
      <c r="C440" s="1" t="s">
        <v>28</v>
      </c>
      <c r="D440" s="1" t="s">
        <v>18</v>
      </c>
      <c r="E440" s="5">
        <v>45456</v>
      </c>
      <c r="F440" s="5">
        <v>45483</v>
      </c>
      <c r="G440" s="2">
        <v>162.63</v>
      </c>
      <c r="H440" s="3">
        <v>6701</v>
      </c>
      <c r="I440" s="3">
        <v>333</v>
      </c>
      <c r="J440" s="3">
        <v>18</v>
      </c>
      <c r="K440" s="2">
        <v>1664.64</v>
      </c>
      <c r="L440" s="6">
        <f t="shared" si="30"/>
        <v>4.9694075511117743E-2</v>
      </c>
      <c r="M440" s="6">
        <f t="shared" si="31"/>
        <v>5.4054054054054057E-2</v>
      </c>
      <c r="N440" s="7">
        <f t="shared" si="32"/>
        <v>10.235749861649143</v>
      </c>
      <c r="O440" s="8">
        <f t="shared" si="33"/>
        <v>0.48837837837837839</v>
      </c>
      <c r="P440" s="8">
        <f t="shared" si="34"/>
        <v>9.0350000000000001</v>
      </c>
    </row>
    <row r="441" spans="1:16" x14ac:dyDescent="0.35">
      <c r="A441" s="1">
        <v>5439</v>
      </c>
      <c r="B441" s="1" t="s">
        <v>135</v>
      </c>
      <c r="C441" s="1" t="s">
        <v>41</v>
      </c>
      <c r="D441" s="1" t="s">
        <v>38</v>
      </c>
      <c r="E441" s="5">
        <v>45689</v>
      </c>
      <c r="F441" s="5">
        <v>45697</v>
      </c>
      <c r="G441" s="2">
        <v>1000.49</v>
      </c>
      <c r="H441" s="3">
        <v>177707</v>
      </c>
      <c r="I441" s="3">
        <v>4459</v>
      </c>
      <c r="J441" s="3">
        <v>103</v>
      </c>
      <c r="K441" s="2">
        <v>5079.96</v>
      </c>
      <c r="L441" s="6">
        <f t="shared" si="30"/>
        <v>2.5091864698633143E-2</v>
      </c>
      <c r="M441" s="6">
        <f t="shared" si="31"/>
        <v>2.3099349629961876E-2</v>
      </c>
      <c r="N441" s="7">
        <f t="shared" si="32"/>
        <v>5.0774720387010364</v>
      </c>
      <c r="O441" s="8">
        <f t="shared" si="33"/>
        <v>0.22437542049786949</v>
      </c>
      <c r="P441" s="8">
        <f t="shared" si="34"/>
        <v>9.7134951456310681</v>
      </c>
    </row>
    <row r="442" spans="1:16" x14ac:dyDescent="0.35">
      <c r="A442" s="1">
        <v>5440</v>
      </c>
      <c r="B442" s="1" t="s">
        <v>145</v>
      </c>
      <c r="C442" s="1" t="s">
        <v>37</v>
      </c>
      <c r="D442" s="1" t="s">
        <v>23</v>
      </c>
      <c r="E442" s="5">
        <v>45745</v>
      </c>
      <c r="F442" s="5">
        <v>45790</v>
      </c>
      <c r="G442" s="2">
        <v>5602.33</v>
      </c>
      <c r="H442" s="3">
        <v>172645</v>
      </c>
      <c r="I442" s="3">
        <v>1362</v>
      </c>
      <c r="J442" s="3">
        <v>29</v>
      </c>
      <c r="K442" s="2">
        <v>4449.18</v>
      </c>
      <c r="L442" s="6">
        <f t="shared" si="30"/>
        <v>7.8890208230762548E-3</v>
      </c>
      <c r="M442" s="6">
        <f t="shared" si="31"/>
        <v>2.1292217327459617E-2</v>
      </c>
      <c r="N442" s="7">
        <f t="shared" si="32"/>
        <v>0.79416599878978933</v>
      </c>
      <c r="O442" s="8">
        <f t="shared" si="33"/>
        <v>4.1133113069016156</v>
      </c>
      <c r="P442" s="8">
        <f t="shared" si="34"/>
        <v>193.18379310344827</v>
      </c>
    </row>
    <row r="443" spans="1:16" x14ac:dyDescent="0.35">
      <c r="A443" s="1">
        <v>5441</v>
      </c>
      <c r="B443" s="1" t="s">
        <v>87</v>
      </c>
      <c r="C443" s="1" t="s">
        <v>47</v>
      </c>
      <c r="D443" s="1" t="s">
        <v>18</v>
      </c>
      <c r="E443" s="5">
        <v>45531</v>
      </c>
      <c r="F443" s="5">
        <v>45559</v>
      </c>
      <c r="G443" s="2">
        <v>667.65</v>
      </c>
      <c r="H443" s="3">
        <v>137659</v>
      </c>
      <c r="I443" s="3">
        <v>4423</v>
      </c>
      <c r="J443" s="3">
        <v>241</v>
      </c>
      <c r="K443" s="2">
        <v>6429.88</v>
      </c>
      <c r="L443" s="6">
        <f t="shared" si="30"/>
        <v>3.2130118626461035E-2</v>
      </c>
      <c r="M443" s="6">
        <f t="shared" si="31"/>
        <v>5.448790413746326E-2</v>
      </c>
      <c r="N443" s="7">
        <f t="shared" si="32"/>
        <v>9.630614843106418</v>
      </c>
      <c r="O443" s="8">
        <f t="shared" si="33"/>
        <v>0.15094958173185621</v>
      </c>
      <c r="P443" s="8">
        <f t="shared" si="34"/>
        <v>2.7703319502074688</v>
      </c>
    </row>
    <row r="444" spans="1:16" x14ac:dyDescent="0.35">
      <c r="A444" s="1">
        <v>5442</v>
      </c>
      <c r="B444" s="1" t="s">
        <v>139</v>
      </c>
      <c r="C444" s="1" t="s">
        <v>60</v>
      </c>
      <c r="D444" s="1" t="s">
        <v>18</v>
      </c>
      <c r="E444" s="5">
        <v>45743</v>
      </c>
      <c r="F444" s="5">
        <v>45785</v>
      </c>
      <c r="G444" s="2">
        <v>2194.9299999999998</v>
      </c>
      <c r="H444" s="3">
        <v>142992</v>
      </c>
      <c r="I444" s="3">
        <v>1460</v>
      </c>
      <c r="J444" s="3">
        <v>47</v>
      </c>
      <c r="K444" s="2">
        <v>1285.92</v>
      </c>
      <c r="L444" s="6">
        <f t="shared" si="30"/>
        <v>1.0210361418820634E-2</v>
      </c>
      <c r="M444" s="6">
        <f t="shared" si="31"/>
        <v>3.2191780821917808E-2</v>
      </c>
      <c r="N444" s="7">
        <f t="shared" si="32"/>
        <v>0.58585923013490182</v>
      </c>
      <c r="O444" s="8">
        <f t="shared" si="33"/>
        <v>1.5033767123287669</v>
      </c>
      <c r="P444" s="8">
        <f t="shared" si="34"/>
        <v>46.700638297872338</v>
      </c>
    </row>
    <row r="445" spans="1:16" x14ac:dyDescent="0.35">
      <c r="A445" s="1">
        <v>5443</v>
      </c>
      <c r="B445" s="1" t="s">
        <v>96</v>
      </c>
      <c r="C445" s="1" t="s">
        <v>41</v>
      </c>
      <c r="D445" s="1" t="s">
        <v>18</v>
      </c>
      <c r="E445" s="5">
        <v>45693</v>
      </c>
      <c r="F445" s="5">
        <v>45717</v>
      </c>
      <c r="G445" s="2">
        <v>1465.13</v>
      </c>
      <c r="H445" s="3">
        <v>408113</v>
      </c>
      <c r="I445" s="3">
        <v>4568</v>
      </c>
      <c r="J445" s="3">
        <v>91</v>
      </c>
      <c r="K445" s="2">
        <v>5094.18</v>
      </c>
      <c r="L445" s="6">
        <f t="shared" si="30"/>
        <v>1.1192978415291844E-2</v>
      </c>
      <c r="M445" s="6">
        <f t="shared" si="31"/>
        <v>1.9921190893169877E-2</v>
      </c>
      <c r="N445" s="7">
        <f t="shared" si="32"/>
        <v>3.4769474381112939</v>
      </c>
      <c r="O445" s="8">
        <f t="shared" si="33"/>
        <v>0.32073774080560424</v>
      </c>
      <c r="P445" s="8">
        <f t="shared" si="34"/>
        <v>16.100329670329671</v>
      </c>
    </row>
    <row r="446" spans="1:16" x14ac:dyDescent="0.35">
      <c r="A446" s="1">
        <v>5444</v>
      </c>
      <c r="B446" s="1" t="s">
        <v>141</v>
      </c>
      <c r="C446" s="1" t="s">
        <v>47</v>
      </c>
      <c r="D446" s="1" t="s">
        <v>23</v>
      </c>
      <c r="E446" s="5">
        <v>45504</v>
      </c>
      <c r="F446" s="5">
        <v>45528</v>
      </c>
      <c r="G446" s="2">
        <v>2796.05</v>
      </c>
      <c r="H446" s="3">
        <v>373305</v>
      </c>
      <c r="I446" s="3">
        <v>12202</v>
      </c>
      <c r="J446" s="3">
        <v>403</v>
      </c>
      <c r="K446" s="2">
        <v>11022.05</v>
      </c>
      <c r="L446" s="6">
        <f t="shared" si="30"/>
        <v>3.2686409236415262E-2</v>
      </c>
      <c r="M446" s="6">
        <f t="shared" si="31"/>
        <v>3.3027372561875101E-2</v>
      </c>
      <c r="N446" s="7">
        <f t="shared" si="32"/>
        <v>3.942007474830564</v>
      </c>
      <c r="O446" s="8">
        <f t="shared" si="33"/>
        <v>0.22914686117029998</v>
      </c>
      <c r="P446" s="8">
        <f t="shared" si="34"/>
        <v>6.9380893300248143</v>
      </c>
    </row>
    <row r="447" spans="1:16" x14ac:dyDescent="0.35">
      <c r="A447" s="1">
        <v>5445</v>
      </c>
      <c r="B447" s="1" t="s">
        <v>44</v>
      </c>
      <c r="C447" s="1" t="s">
        <v>28</v>
      </c>
      <c r="D447" s="1" t="s">
        <v>20</v>
      </c>
      <c r="E447" s="5">
        <v>45738</v>
      </c>
      <c r="F447" s="5">
        <v>45761</v>
      </c>
      <c r="G447" s="2">
        <v>5277.74</v>
      </c>
      <c r="H447" s="3">
        <v>229967</v>
      </c>
      <c r="I447" s="3">
        <v>6657</v>
      </c>
      <c r="J447" s="3">
        <v>207</v>
      </c>
      <c r="K447" s="2">
        <v>10772.28</v>
      </c>
      <c r="L447" s="6">
        <f t="shared" si="30"/>
        <v>2.8947631616710223E-2</v>
      </c>
      <c r="M447" s="6">
        <f t="shared" si="31"/>
        <v>3.1095087877422264E-2</v>
      </c>
      <c r="N447" s="7">
        <f t="shared" si="32"/>
        <v>2.0410781887701934</v>
      </c>
      <c r="O447" s="8">
        <f t="shared" si="33"/>
        <v>0.7928105753342346</v>
      </c>
      <c r="P447" s="8">
        <f t="shared" si="34"/>
        <v>25.496328502415459</v>
      </c>
    </row>
    <row r="448" spans="1:16" x14ac:dyDescent="0.35">
      <c r="A448" s="1">
        <v>5446</v>
      </c>
      <c r="B448" s="1" t="s">
        <v>71</v>
      </c>
      <c r="C448" s="1" t="s">
        <v>47</v>
      </c>
      <c r="D448" s="1" t="s">
        <v>26</v>
      </c>
      <c r="E448" s="5">
        <v>45474</v>
      </c>
      <c r="F448" s="5">
        <v>45496</v>
      </c>
      <c r="G448" s="2">
        <v>968.61</v>
      </c>
      <c r="H448" s="3">
        <v>173897</v>
      </c>
      <c r="I448" s="3">
        <v>4739</v>
      </c>
      <c r="J448" s="3">
        <v>97</v>
      </c>
      <c r="K448" s="2">
        <v>5897.6</v>
      </c>
      <c r="L448" s="6">
        <f t="shared" si="30"/>
        <v>2.7251763975226714E-2</v>
      </c>
      <c r="M448" s="6">
        <f t="shared" si="31"/>
        <v>2.0468453260181471E-2</v>
      </c>
      <c r="N448" s="7">
        <f t="shared" si="32"/>
        <v>6.0887250802696649</v>
      </c>
      <c r="O448" s="8">
        <f t="shared" si="33"/>
        <v>0.20439122177674615</v>
      </c>
      <c r="P448" s="8">
        <f t="shared" si="34"/>
        <v>9.985670103092783</v>
      </c>
    </row>
    <row r="449" spans="1:16" x14ac:dyDescent="0.35">
      <c r="A449" s="1">
        <v>5447</v>
      </c>
      <c r="B449" s="1" t="s">
        <v>99</v>
      </c>
      <c r="C449" s="1" t="s">
        <v>60</v>
      </c>
      <c r="D449" s="1" t="s">
        <v>20</v>
      </c>
      <c r="E449" s="5">
        <v>45579</v>
      </c>
      <c r="F449" s="5">
        <v>45588</v>
      </c>
      <c r="G449" s="2">
        <v>5474.49</v>
      </c>
      <c r="H449" s="3">
        <v>404320</v>
      </c>
      <c r="I449" s="3">
        <v>7150</v>
      </c>
      <c r="J449" s="3">
        <v>149</v>
      </c>
      <c r="K449" s="2">
        <v>6591.76</v>
      </c>
      <c r="L449" s="6">
        <f t="shared" si="30"/>
        <v>1.7684012663237041E-2</v>
      </c>
      <c r="M449" s="6">
        <f t="shared" si="31"/>
        <v>2.083916083916084E-2</v>
      </c>
      <c r="N449" s="7">
        <f t="shared" si="32"/>
        <v>1.2040865907143863</v>
      </c>
      <c r="O449" s="8">
        <f t="shared" si="33"/>
        <v>0.76566293706293709</v>
      </c>
      <c r="P449" s="8">
        <f t="shared" si="34"/>
        <v>36.741543624161075</v>
      </c>
    </row>
    <row r="450" spans="1:16" x14ac:dyDescent="0.35">
      <c r="A450" s="1">
        <v>5448</v>
      </c>
      <c r="B450" s="1" t="s">
        <v>36</v>
      </c>
      <c r="C450" s="1" t="s">
        <v>37</v>
      </c>
      <c r="D450" s="1" t="s">
        <v>18</v>
      </c>
      <c r="E450" s="5">
        <v>45553</v>
      </c>
      <c r="F450" s="5">
        <v>45572</v>
      </c>
      <c r="G450" s="2">
        <v>604.03</v>
      </c>
      <c r="H450" s="3">
        <v>34935</v>
      </c>
      <c r="I450" s="3">
        <v>281</v>
      </c>
      <c r="J450" s="3">
        <v>4</v>
      </c>
      <c r="K450" s="2">
        <v>252.32</v>
      </c>
      <c r="L450" s="6">
        <f t="shared" ref="L450:L501" si="35">IFERROR(I450/H450,0)</f>
        <v>8.0435093745527403E-3</v>
      </c>
      <c r="M450" s="6">
        <f t="shared" ref="M450:M501" si="36">IFERROR(J450/I450,0)</f>
        <v>1.4234875444839857E-2</v>
      </c>
      <c r="N450" s="7">
        <f t="shared" ref="N450:N501" si="37">IFERROR(K450/G450,0)</f>
        <v>0.41772759631144152</v>
      </c>
      <c r="O450" s="8">
        <f t="shared" ref="O450:O501" si="38">IFERROR(G450/I450,0)</f>
        <v>2.1495729537366546</v>
      </c>
      <c r="P450" s="8">
        <f t="shared" ref="P450:P501" si="39">IFERROR(G450/J450,0)</f>
        <v>151.00749999999999</v>
      </c>
    </row>
    <row r="451" spans="1:16" x14ac:dyDescent="0.35">
      <c r="A451" s="1">
        <v>5449</v>
      </c>
      <c r="B451" s="1" t="s">
        <v>117</v>
      </c>
      <c r="C451" s="1" t="s">
        <v>22</v>
      </c>
      <c r="D451" s="1" t="s">
        <v>38</v>
      </c>
      <c r="E451" s="5">
        <v>45617</v>
      </c>
      <c r="F451" s="5">
        <v>45649</v>
      </c>
      <c r="G451" s="2">
        <v>54.93</v>
      </c>
      <c r="H451" s="3">
        <v>33088</v>
      </c>
      <c r="I451" s="3">
        <v>1185</v>
      </c>
      <c r="J451" s="3">
        <v>159</v>
      </c>
      <c r="K451" s="2">
        <v>6631.89</v>
      </c>
      <c r="L451" s="6">
        <f t="shared" si="35"/>
        <v>3.5813588007736943E-2</v>
      </c>
      <c r="M451" s="6">
        <f t="shared" si="36"/>
        <v>0.13417721518987341</v>
      </c>
      <c r="N451" s="7">
        <f t="shared" si="37"/>
        <v>120.73347897323868</v>
      </c>
      <c r="O451" s="8">
        <f t="shared" si="38"/>
        <v>4.6354430379746833E-2</v>
      </c>
      <c r="P451" s="8">
        <f t="shared" si="39"/>
        <v>0.34547169811320755</v>
      </c>
    </row>
    <row r="452" spans="1:16" x14ac:dyDescent="0.35">
      <c r="A452" s="1">
        <v>5450</v>
      </c>
      <c r="B452" s="1" t="s">
        <v>99</v>
      </c>
      <c r="C452" s="1" t="s">
        <v>60</v>
      </c>
      <c r="D452" s="1" t="s">
        <v>38</v>
      </c>
      <c r="E452" s="5">
        <v>45486</v>
      </c>
      <c r="F452" s="5">
        <v>45529</v>
      </c>
      <c r="G452" s="2">
        <v>5564.23</v>
      </c>
      <c r="H452" s="3">
        <v>474764</v>
      </c>
      <c r="I452" s="3">
        <v>4730</v>
      </c>
      <c r="J452" s="3">
        <v>88</v>
      </c>
      <c r="K452" s="2">
        <v>6057.04</v>
      </c>
      <c r="L452" s="6">
        <f t="shared" si="35"/>
        <v>9.9628446975760596E-3</v>
      </c>
      <c r="M452" s="6">
        <f t="shared" si="36"/>
        <v>1.8604651162790697E-2</v>
      </c>
      <c r="N452" s="7">
        <f t="shared" si="37"/>
        <v>1.0885675106888106</v>
      </c>
      <c r="O452" s="8">
        <f t="shared" si="38"/>
        <v>1.1763699788583508</v>
      </c>
      <c r="P452" s="8">
        <f t="shared" si="39"/>
        <v>63.229886363636361</v>
      </c>
    </row>
    <row r="453" spans="1:16" x14ac:dyDescent="0.35">
      <c r="A453" s="1">
        <v>5451</v>
      </c>
      <c r="B453" s="1" t="s">
        <v>109</v>
      </c>
      <c r="C453" s="1" t="s">
        <v>28</v>
      </c>
      <c r="D453" s="1" t="s">
        <v>23</v>
      </c>
      <c r="E453" s="5">
        <v>45488</v>
      </c>
      <c r="F453" s="5">
        <v>45514</v>
      </c>
      <c r="G453" s="2">
        <v>9143.2199999999993</v>
      </c>
      <c r="H453" s="3">
        <v>405644</v>
      </c>
      <c r="I453" s="3">
        <v>25070</v>
      </c>
      <c r="J453" s="3">
        <v>1481</v>
      </c>
      <c r="K453" s="2">
        <v>113711.18</v>
      </c>
      <c r="L453" s="6">
        <f t="shared" si="35"/>
        <v>6.1802960231138633E-2</v>
      </c>
      <c r="M453" s="6">
        <f t="shared" si="36"/>
        <v>5.9074591144794575E-2</v>
      </c>
      <c r="N453" s="7">
        <f t="shared" si="37"/>
        <v>12.436666732289062</v>
      </c>
      <c r="O453" s="8">
        <f t="shared" si="38"/>
        <v>0.36470761866773033</v>
      </c>
      <c r="P453" s="8">
        <f t="shared" si="39"/>
        <v>6.1736799459824443</v>
      </c>
    </row>
    <row r="454" spans="1:16" x14ac:dyDescent="0.35">
      <c r="A454" s="1">
        <v>5452</v>
      </c>
      <c r="B454" s="1" t="s">
        <v>121</v>
      </c>
      <c r="C454" s="1" t="s">
        <v>25</v>
      </c>
      <c r="D454" s="1" t="s">
        <v>26</v>
      </c>
      <c r="E454" s="5">
        <v>45530</v>
      </c>
      <c r="F454" s="5">
        <v>45563</v>
      </c>
      <c r="G454" s="2">
        <v>1713.84</v>
      </c>
      <c r="H454" s="3">
        <v>245185</v>
      </c>
      <c r="I454" s="3">
        <v>7846</v>
      </c>
      <c r="J454" s="3">
        <v>255</v>
      </c>
      <c r="K454" s="2">
        <v>26841.3</v>
      </c>
      <c r="L454" s="6">
        <f t="shared" si="35"/>
        <v>3.2000326284234354E-2</v>
      </c>
      <c r="M454" s="6">
        <f t="shared" si="36"/>
        <v>3.2500637267397402E-2</v>
      </c>
      <c r="N454" s="7">
        <f t="shared" si="37"/>
        <v>15.661496989217197</v>
      </c>
      <c r="O454" s="8">
        <f t="shared" si="38"/>
        <v>0.21843487127198571</v>
      </c>
      <c r="P454" s="8">
        <f t="shared" si="39"/>
        <v>6.7209411764705882</v>
      </c>
    </row>
    <row r="455" spans="1:16" x14ac:dyDescent="0.35">
      <c r="A455" s="1">
        <v>5453</v>
      </c>
      <c r="B455" s="1" t="s">
        <v>134</v>
      </c>
      <c r="C455" s="1" t="s">
        <v>17</v>
      </c>
      <c r="D455" s="1" t="s">
        <v>23</v>
      </c>
      <c r="E455" s="5">
        <v>45635</v>
      </c>
      <c r="F455" s="5">
        <v>45663</v>
      </c>
      <c r="G455" s="2">
        <v>2198.9499999999998</v>
      </c>
      <c r="H455" s="3">
        <v>373971</v>
      </c>
      <c r="I455" s="3">
        <v>6972</v>
      </c>
      <c r="J455" s="3">
        <v>339</v>
      </c>
      <c r="K455" s="2">
        <v>8698.74</v>
      </c>
      <c r="L455" s="6">
        <f t="shared" si="35"/>
        <v>1.8643156822320449E-2</v>
      </c>
      <c r="M455" s="6">
        <f t="shared" si="36"/>
        <v>4.862306368330465E-2</v>
      </c>
      <c r="N455" s="7">
        <f t="shared" si="37"/>
        <v>3.9558607517224131</v>
      </c>
      <c r="O455" s="8">
        <f t="shared" si="38"/>
        <v>0.31539730349971312</v>
      </c>
      <c r="P455" s="8">
        <f t="shared" si="39"/>
        <v>6.4865781710914447</v>
      </c>
    </row>
    <row r="456" spans="1:16" x14ac:dyDescent="0.35">
      <c r="A456" s="1">
        <v>5454</v>
      </c>
      <c r="B456" s="1" t="s">
        <v>43</v>
      </c>
      <c r="C456" s="1" t="s">
        <v>22</v>
      </c>
      <c r="D456" s="1" t="s">
        <v>18</v>
      </c>
      <c r="E456" s="5">
        <v>45646</v>
      </c>
      <c r="F456" s="5">
        <v>45675</v>
      </c>
      <c r="G456" s="2">
        <v>766.73</v>
      </c>
      <c r="H456" s="3">
        <v>445773</v>
      </c>
      <c r="I456" s="3">
        <v>9332</v>
      </c>
      <c r="J456" s="3">
        <v>502</v>
      </c>
      <c r="K456" s="2">
        <v>35210.28</v>
      </c>
      <c r="L456" s="6">
        <f t="shared" si="35"/>
        <v>2.0934421779695046E-2</v>
      </c>
      <c r="M456" s="6">
        <f t="shared" si="36"/>
        <v>5.3793399057008147E-2</v>
      </c>
      <c r="N456" s="7">
        <f t="shared" si="37"/>
        <v>45.922658562988275</v>
      </c>
      <c r="O456" s="8">
        <f t="shared" si="38"/>
        <v>8.2161380197171022E-2</v>
      </c>
      <c r="P456" s="8">
        <f t="shared" si="39"/>
        <v>1.5273505976095618</v>
      </c>
    </row>
    <row r="457" spans="1:16" x14ac:dyDescent="0.35">
      <c r="A457" s="1">
        <v>5455</v>
      </c>
      <c r="B457" s="1" t="s">
        <v>127</v>
      </c>
      <c r="C457" s="1" t="s">
        <v>25</v>
      </c>
      <c r="D457" s="1" t="s">
        <v>38</v>
      </c>
      <c r="E457" s="5">
        <v>45520</v>
      </c>
      <c r="F457" s="5">
        <v>45547</v>
      </c>
      <c r="G457" s="2">
        <v>1083.17</v>
      </c>
      <c r="H457" s="3">
        <v>327241</v>
      </c>
      <c r="I457" s="3">
        <v>7422</v>
      </c>
      <c r="J457" s="3">
        <v>163</v>
      </c>
      <c r="K457" s="2">
        <v>4339.0600000000004</v>
      </c>
      <c r="L457" s="6">
        <f t="shared" si="35"/>
        <v>2.2680532084916011E-2</v>
      </c>
      <c r="M457" s="6">
        <f t="shared" si="36"/>
        <v>2.1961735381298843E-2</v>
      </c>
      <c r="N457" s="7">
        <f t="shared" si="37"/>
        <v>4.0058901188179146</v>
      </c>
      <c r="O457" s="8">
        <f t="shared" si="38"/>
        <v>0.145940447318782</v>
      </c>
      <c r="P457" s="8">
        <f t="shared" si="39"/>
        <v>6.6452147239263812</v>
      </c>
    </row>
    <row r="458" spans="1:16" x14ac:dyDescent="0.35">
      <c r="A458" s="1">
        <v>5456</v>
      </c>
      <c r="B458" s="1" t="s">
        <v>137</v>
      </c>
      <c r="C458" s="1" t="s">
        <v>22</v>
      </c>
      <c r="D458" s="1" t="s">
        <v>20</v>
      </c>
      <c r="E458" s="5">
        <v>45810</v>
      </c>
      <c r="F458" s="5">
        <v>45849</v>
      </c>
      <c r="G458" s="2">
        <v>214.05</v>
      </c>
      <c r="H458" s="3">
        <v>151805</v>
      </c>
      <c r="I458" s="3">
        <v>5260</v>
      </c>
      <c r="J458" s="3">
        <v>324</v>
      </c>
      <c r="K458" s="2">
        <v>22492.080000000002</v>
      </c>
      <c r="L458" s="6">
        <f t="shared" si="35"/>
        <v>3.4649715095023223E-2</v>
      </c>
      <c r="M458" s="6">
        <f t="shared" si="36"/>
        <v>6.1596958174904945E-2</v>
      </c>
      <c r="N458" s="7">
        <f t="shared" si="37"/>
        <v>105.07862648913806</v>
      </c>
      <c r="O458" s="8">
        <f t="shared" si="38"/>
        <v>4.0693916349809886E-2</v>
      </c>
      <c r="P458" s="8">
        <f t="shared" si="39"/>
        <v>0.66064814814814821</v>
      </c>
    </row>
    <row r="459" spans="1:16" x14ac:dyDescent="0.35">
      <c r="A459" s="1">
        <v>5457</v>
      </c>
      <c r="B459" s="1" t="s">
        <v>45</v>
      </c>
      <c r="C459" s="1" t="s">
        <v>41</v>
      </c>
      <c r="D459" s="1" t="s">
        <v>38</v>
      </c>
      <c r="E459" s="5">
        <v>45539</v>
      </c>
      <c r="F459" s="5">
        <v>45579</v>
      </c>
      <c r="G459" s="2">
        <v>898.92</v>
      </c>
      <c r="H459" s="3">
        <v>276591</v>
      </c>
      <c r="I459" s="3">
        <v>4874</v>
      </c>
      <c r="J459" s="3">
        <v>41</v>
      </c>
      <c r="K459" s="2">
        <v>1637.95</v>
      </c>
      <c r="L459" s="6">
        <f t="shared" si="35"/>
        <v>1.7621686895090586E-2</v>
      </c>
      <c r="M459" s="6">
        <f t="shared" si="36"/>
        <v>8.4119819450143626E-3</v>
      </c>
      <c r="N459" s="7">
        <f t="shared" si="37"/>
        <v>1.8221310016464203</v>
      </c>
      <c r="O459" s="8">
        <f t="shared" si="38"/>
        <v>0.18443167829298318</v>
      </c>
      <c r="P459" s="8">
        <f t="shared" si="39"/>
        <v>21.924878048780485</v>
      </c>
    </row>
    <row r="460" spans="1:16" x14ac:dyDescent="0.35">
      <c r="A460" s="1">
        <v>5458</v>
      </c>
      <c r="B460" s="1" t="s">
        <v>125</v>
      </c>
      <c r="C460" s="1" t="s">
        <v>41</v>
      </c>
      <c r="D460" s="1" t="s">
        <v>23</v>
      </c>
      <c r="E460" s="5">
        <v>45602</v>
      </c>
      <c r="F460" s="5">
        <v>45642</v>
      </c>
      <c r="G460" s="2">
        <v>3922.55</v>
      </c>
      <c r="H460" s="3">
        <v>432952</v>
      </c>
      <c r="I460" s="3">
        <v>15037</v>
      </c>
      <c r="J460" s="3">
        <v>399</v>
      </c>
      <c r="K460" s="2">
        <v>17540.04</v>
      </c>
      <c r="L460" s="6">
        <f t="shared" si="35"/>
        <v>3.4731332803636432E-2</v>
      </c>
      <c r="M460" s="6">
        <f t="shared" si="36"/>
        <v>2.653454811465053E-2</v>
      </c>
      <c r="N460" s="7">
        <f t="shared" si="37"/>
        <v>4.4715911843061278</v>
      </c>
      <c r="O460" s="8">
        <f t="shared" si="38"/>
        <v>0.26085987896521912</v>
      </c>
      <c r="P460" s="8">
        <f t="shared" si="39"/>
        <v>9.8309523809523807</v>
      </c>
    </row>
    <row r="461" spans="1:16" x14ac:dyDescent="0.35">
      <c r="A461" s="1">
        <v>5459</v>
      </c>
      <c r="B461" s="1" t="s">
        <v>124</v>
      </c>
      <c r="C461" s="1" t="s">
        <v>28</v>
      </c>
      <c r="D461" s="1" t="s">
        <v>18</v>
      </c>
      <c r="E461" s="5">
        <v>45502</v>
      </c>
      <c r="F461" s="5">
        <v>45538</v>
      </c>
      <c r="G461" s="2">
        <v>2735.52</v>
      </c>
      <c r="H461" s="3">
        <v>191563</v>
      </c>
      <c r="I461" s="3">
        <v>14603</v>
      </c>
      <c r="J461" s="3">
        <v>438</v>
      </c>
      <c r="K461" s="2">
        <v>36980.339999999997</v>
      </c>
      <c r="L461" s="6">
        <f t="shared" si="35"/>
        <v>7.6230796134952997E-2</v>
      </c>
      <c r="M461" s="6">
        <f t="shared" si="36"/>
        <v>2.9993836882832296E-2</v>
      </c>
      <c r="N461" s="7">
        <f t="shared" si="37"/>
        <v>13.518577820670291</v>
      </c>
      <c r="O461" s="8">
        <f t="shared" si="38"/>
        <v>0.18732589194001231</v>
      </c>
      <c r="P461" s="8">
        <f t="shared" si="39"/>
        <v>6.245479452054794</v>
      </c>
    </row>
    <row r="462" spans="1:16" x14ac:dyDescent="0.35">
      <c r="A462" s="1">
        <v>5460</v>
      </c>
      <c r="B462" s="1" t="s">
        <v>146</v>
      </c>
      <c r="C462" s="1" t="s">
        <v>37</v>
      </c>
      <c r="D462" s="1" t="s">
        <v>26</v>
      </c>
      <c r="E462" s="5">
        <v>45685</v>
      </c>
      <c r="F462" s="5">
        <v>45699</v>
      </c>
      <c r="G462" s="2">
        <v>4425.67</v>
      </c>
      <c r="H462" s="3">
        <v>193599</v>
      </c>
      <c r="I462" s="3">
        <v>2859</v>
      </c>
      <c r="J462" s="3">
        <v>104</v>
      </c>
      <c r="K462" s="2">
        <v>15883.92</v>
      </c>
      <c r="L462" s="6">
        <f t="shared" si="35"/>
        <v>1.4767638262594331E-2</v>
      </c>
      <c r="M462" s="6">
        <f t="shared" si="36"/>
        <v>3.6376355369010141E-2</v>
      </c>
      <c r="N462" s="7">
        <f t="shared" si="37"/>
        <v>3.5890430149559274</v>
      </c>
      <c r="O462" s="8">
        <f t="shared" si="38"/>
        <v>1.5479783140958376</v>
      </c>
      <c r="P462" s="8">
        <f t="shared" si="39"/>
        <v>42.55451923076923</v>
      </c>
    </row>
    <row r="463" spans="1:16" x14ac:dyDescent="0.35">
      <c r="A463" s="1">
        <v>5461</v>
      </c>
      <c r="B463" s="1" t="s">
        <v>34</v>
      </c>
      <c r="C463" s="1" t="s">
        <v>22</v>
      </c>
      <c r="D463" s="1" t="s">
        <v>18</v>
      </c>
      <c r="E463" s="5">
        <v>45586</v>
      </c>
      <c r="F463" s="5">
        <v>45589</v>
      </c>
      <c r="G463" s="2">
        <v>369.31</v>
      </c>
      <c r="H463" s="3">
        <v>444953</v>
      </c>
      <c r="I463" s="3">
        <v>9152</v>
      </c>
      <c r="J463" s="3">
        <v>463</v>
      </c>
      <c r="K463" s="2">
        <v>20163.650000000001</v>
      </c>
      <c r="L463" s="6">
        <f t="shared" si="35"/>
        <v>2.0568464534456449E-2</v>
      </c>
      <c r="M463" s="6">
        <f t="shared" si="36"/>
        <v>5.0590034965034968E-2</v>
      </c>
      <c r="N463" s="7">
        <f t="shared" si="37"/>
        <v>54.598169559448706</v>
      </c>
      <c r="O463" s="8">
        <f t="shared" si="38"/>
        <v>4.0352928321678319E-2</v>
      </c>
      <c r="P463" s="8">
        <f t="shared" si="39"/>
        <v>0.797645788336933</v>
      </c>
    </row>
    <row r="464" spans="1:16" x14ac:dyDescent="0.35">
      <c r="A464" s="1">
        <v>5462</v>
      </c>
      <c r="B464" s="1" t="s">
        <v>86</v>
      </c>
      <c r="C464" s="1" t="s">
        <v>47</v>
      </c>
      <c r="D464" s="1" t="s">
        <v>23</v>
      </c>
      <c r="E464" s="5">
        <v>45789</v>
      </c>
      <c r="F464" s="5">
        <v>45832</v>
      </c>
      <c r="G464" s="2">
        <v>1260.73</v>
      </c>
      <c r="H464" s="3">
        <v>144248</v>
      </c>
      <c r="I464" s="3">
        <v>3976</v>
      </c>
      <c r="J464" s="3">
        <v>61</v>
      </c>
      <c r="K464" s="2">
        <v>5164.87</v>
      </c>
      <c r="L464" s="6">
        <f t="shared" si="35"/>
        <v>2.7563640397093893E-2</v>
      </c>
      <c r="M464" s="6">
        <f t="shared" si="36"/>
        <v>1.53420523138833E-2</v>
      </c>
      <c r="N464" s="7">
        <f t="shared" si="37"/>
        <v>4.0967296724913345</v>
      </c>
      <c r="O464" s="8">
        <f t="shared" si="38"/>
        <v>0.31708501006036216</v>
      </c>
      <c r="P464" s="8">
        <f t="shared" si="39"/>
        <v>20.667704918032786</v>
      </c>
    </row>
    <row r="465" spans="1:16" x14ac:dyDescent="0.35">
      <c r="A465" s="1">
        <v>5463</v>
      </c>
      <c r="B465" s="1" t="s">
        <v>32</v>
      </c>
      <c r="C465" s="1" t="s">
        <v>28</v>
      </c>
      <c r="D465" s="1" t="s">
        <v>26</v>
      </c>
      <c r="E465" s="5">
        <v>45673</v>
      </c>
      <c r="F465" s="5">
        <v>45698</v>
      </c>
      <c r="G465" s="2">
        <v>4903.87</v>
      </c>
      <c r="H465" s="3">
        <v>311159</v>
      </c>
      <c r="I465" s="3">
        <v>19877</v>
      </c>
      <c r="J465" s="3">
        <v>1215</v>
      </c>
      <c r="K465" s="2">
        <v>94065.3</v>
      </c>
      <c r="L465" s="6">
        <f t="shared" si="35"/>
        <v>6.3880524105039541E-2</v>
      </c>
      <c r="M465" s="6">
        <f t="shared" si="36"/>
        <v>6.1125924435276952E-2</v>
      </c>
      <c r="N465" s="7">
        <f t="shared" si="37"/>
        <v>19.181850252963478</v>
      </c>
      <c r="O465" s="8">
        <f t="shared" si="38"/>
        <v>0.24671077124314533</v>
      </c>
      <c r="P465" s="8">
        <f t="shared" si="39"/>
        <v>4.036106995884774</v>
      </c>
    </row>
    <row r="466" spans="1:16" x14ac:dyDescent="0.35">
      <c r="A466" s="1">
        <v>5464</v>
      </c>
      <c r="B466" s="1" t="s">
        <v>59</v>
      </c>
      <c r="C466" s="1" t="s">
        <v>60</v>
      </c>
      <c r="D466" s="1" t="s">
        <v>38</v>
      </c>
      <c r="E466" s="5">
        <v>45801</v>
      </c>
      <c r="F466" s="5">
        <v>45841</v>
      </c>
      <c r="G466" s="2">
        <v>2699.17</v>
      </c>
      <c r="H466" s="3">
        <v>367735</v>
      </c>
      <c r="I466" s="3">
        <v>6610</v>
      </c>
      <c r="J466" s="3">
        <v>76</v>
      </c>
      <c r="K466" s="2">
        <v>5184.72</v>
      </c>
      <c r="L466" s="6">
        <f t="shared" si="35"/>
        <v>1.7974900403823404E-2</v>
      </c>
      <c r="M466" s="6">
        <f t="shared" si="36"/>
        <v>1.1497730711043872E-2</v>
      </c>
      <c r="N466" s="7">
        <f t="shared" si="37"/>
        <v>1.9208571523838811</v>
      </c>
      <c r="O466" s="8">
        <f t="shared" si="38"/>
        <v>0.40834644478063542</v>
      </c>
      <c r="P466" s="8">
        <f t="shared" si="39"/>
        <v>35.515394736842104</v>
      </c>
    </row>
    <row r="467" spans="1:16" x14ac:dyDescent="0.35">
      <c r="A467" s="1">
        <v>5465</v>
      </c>
      <c r="B467" s="1" t="s">
        <v>62</v>
      </c>
      <c r="C467" s="1" t="s">
        <v>25</v>
      </c>
      <c r="D467" s="1" t="s">
        <v>18</v>
      </c>
      <c r="E467" s="5">
        <v>45721</v>
      </c>
      <c r="F467" s="5">
        <v>45765</v>
      </c>
      <c r="G467" s="2">
        <v>674.48</v>
      </c>
      <c r="H467" s="3">
        <v>169468</v>
      </c>
      <c r="I467" s="3">
        <v>8052</v>
      </c>
      <c r="J467" s="3">
        <v>280</v>
      </c>
      <c r="K467" s="2">
        <v>20011.599999999999</v>
      </c>
      <c r="L467" s="6">
        <f t="shared" si="35"/>
        <v>4.7513394859206456E-2</v>
      </c>
      <c r="M467" s="6">
        <f t="shared" si="36"/>
        <v>3.4773969200198707E-2</v>
      </c>
      <c r="N467" s="7">
        <f t="shared" si="37"/>
        <v>29.669671450598976</v>
      </c>
      <c r="O467" s="8">
        <f t="shared" si="38"/>
        <v>8.3765524093392954E-2</v>
      </c>
      <c r="P467" s="8">
        <f t="shared" si="39"/>
        <v>2.4088571428571428</v>
      </c>
    </row>
    <row r="468" spans="1:16" x14ac:dyDescent="0.35">
      <c r="A468" s="1">
        <v>5466</v>
      </c>
      <c r="B468" s="1" t="s">
        <v>16</v>
      </c>
      <c r="C468" s="1" t="s">
        <v>17</v>
      </c>
      <c r="D468" s="1" t="s">
        <v>26</v>
      </c>
      <c r="E468" s="5">
        <v>45646</v>
      </c>
      <c r="F468" s="5">
        <v>45664</v>
      </c>
      <c r="G468" s="2">
        <v>3411.46</v>
      </c>
      <c r="H468" s="3">
        <v>467965</v>
      </c>
      <c r="I468" s="3">
        <v>7845</v>
      </c>
      <c r="J468" s="3">
        <v>147</v>
      </c>
      <c r="K468" s="2">
        <v>10040.1</v>
      </c>
      <c r="L468" s="6">
        <f t="shared" si="35"/>
        <v>1.6764074236321092E-2</v>
      </c>
      <c r="M468" s="6">
        <f t="shared" si="36"/>
        <v>1.8738049713193115E-2</v>
      </c>
      <c r="N468" s="7">
        <f t="shared" si="37"/>
        <v>2.9430507759141249</v>
      </c>
      <c r="O468" s="8">
        <f t="shared" si="38"/>
        <v>0.43485787125557679</v>
      </c>
      <c r="P468" s="8">
        <f t="shared" si="39"/>
        <v>23.207210884353742</v>
      </c>
    </row>
    <row r="469" spans="1:16" x14ac:dyDescent="0.35">
      <c r="A469" s="1">
        <v>5467</v>
      </c>
      <c r="B469" s="1" t="s">
        <v>147</v>
      </c>
      <c r="C469" s="1" t="s">
        <v>41</v>
      </c>
      <c r="D469" s="1" t="s">
        <v>38</v>
      </c>
      <c r="E469" s="5">
        <v>45663</v>
      </c>
      <c r="F469" s="5">
        <v>45679</v>
      </c>
      <c r="G469" s="2">
        <v>256.86</v>
      </c>
      <c r="H469" s="3">
        <v>61596</v>
      </c>
      <c r="I469" s="3">
        <v>1596</v>
      </c>
      <c r="J469" s="3">
        <v>21</v>
      </c>
      <c r="K469" s="2">
        <v>1193.6400000000001</v>
      </c>
      <c r="L469" s="6">
        <f t="shared" si="35"/>
        <v>2.59107734268459E-2</v>
      </c>
      <c r="M469" s="6">
        <f t="shared" si="36"/>
        <v>1.3157894736842105E-2</v>
      </c>
      <c r="N469" s="7">
        <f t="shared" si="37"/>
        <v>4.6470450829245502</v>
      </c>
      <c r="O469" s="8">
        <f t="shared" si="38"/>
        <v>0.16093984962406016</v>
      </c>
      <c r="P469" s="8">
        <f t="shared" si="39"/>
        <v>12.231428571428571</v>
      </c>
    </row>
    <row r="470" spans="1:16" x14ac:dyDescent="0.35">
      <c r="A470" s="1">
        <v>5468</v>
      </c>
      <c r="B470" s="1" t="s">
        <v>129</v>
      </c>
      <c r="C470" s="1" t="s">
        <v>47</v>
      </c>
      <c r="D470" s="1" t="s">
        <v>26</v>
      </c>
      <c r="E470" s="5">
        <v>45561</v>
      </c>
      <c r="F470" s="5">
        <v>45568</v>
      </c>
      <c r="G470" s="2">
        <v>405.95</v>
      </c>
      <c r="H470" s="3">
        <v>49994</v>
      </c>
      <c r="I470" s="3">
        <v>1739</v>
      </c>
      <c r="J470" s="3">
        <v>59</v>
      </c>
      <c r="K470" s="2">
        <v>4889.92</v>
      </c>
      <c r="L470" s="6">
        <f t="shared" si="35"/>
        <v>3.4784174100892108E-2</v>
      </c>
      <c r="M470" s="6">
        <f t="shared" si="36"/>
        <v>3.3927544565842439E-2</v>
      </c>
      <c r="N470" s="7">
        <f t="shared" si="37"/>
        <v>12.04562138194359</v>
      </c>
      <c r="O470" s="8">
        <f t="shared" si="38"/>
        <v>0.23343875790684301</v>
      </c>
      <c r="P470" s="8">
        <f t="shared" si="39"/>
        <v>6.8805084745762706</v>
      </c>
    </row>
    <row r="471" spans="1:16" x14ac:dyDescent="0.35">
      <c r="A471" s="1">
        <v>5469</v>
      </c>
      <c r="B471" s="1" t="s">
        <v>113</v>
      </c>
      <c r="C471" s="1" t="s">
        <v>47</v>
      </c>
      <c r="D471" s="1" t="s">
        <v>26</v>
      </c>
      <c r="E471" s="5">
        <v>45822</v>
      </c>
      <c r="F471" s="5">
        <v>45846</v>
      </c>
      <c r="G471" s="2">
        <v>3090.33</v>
      </c>
      <c r="H471" s="3">
        <v>296009</v>
      </c>
      <c r="I471" s="3">
        <v>3003</v>
      </c>
      <c r="J471" s="3">
        <v>115</v>
      </c>
      <c r="K471" s="2">
        <v>9166.65</v>
      </c>
      <c r="L471" s="6">
        <f t="shared" si="35"/>
        <v>1.0144961808593658E-2</v>
      </c>
      <c r="M471" s="6">
        <f t="shared" si="36"/>
        <v>3.8295038295038296E-2</v>
      </c>
      <c r="N471" s="7">
        <f t="shared" si="37"/>
        <v>2.9662366155070816</v>
      </c>
      <c r="O471" s="8">
        <f t="shared" si="38"/>
        <v>1.0290809190809191</v>
      </c>
      <c r="P471" s="8">
        <f t="shared" si="39"/>
        <v>26.872434782608696</v>
      </c>
    </row>
    <row r="472" spans="1:16" x14ac:dyDescent="0.35">
      <c r="A472" s="1">
        <v>5470</v>
      </c>
      <c r="B472" s="1" t="s">
        <v>46</v>
      </c>
      <c r="C472" s="1" t="s">
        <v>47</v>
      </c>
      <c r="D472" s="1" t="s">
        <v>20</v>
      </c>
      <c r="E472" s="5">
        <v>45713</v>
      </c>
      <c r="F472" s="5">
        <v>45735</v>
      </c>
      <c r="G472" s="2">
        <v>3872.85</v>
      </c>
      <c r="H472" s="3">
        <v>436623</v>
      </c>
      <c r="I472" s="3">
        <v>9941</v>
      </c>
      <c r="J472" s="3">
        <v>328</v>
      </c>
      <c r="K472" s="2">
        <v>21215.040000000001</v>
      </c>
      <c r="L472" s="6">
        <f t="shared" si="35"/>
        <v>2.2767925647526586E-2</v>
      </c>
      <c r="M472" s="6">
        <f t="shared" si="36"/>
        <v>3.2994668544412034E-2</v>
      </c>
      <c r="N472" s="7">
        <f t="shared" si="37"/>
        <v>5.477888376776793</v>
      </c>
      <c r="O472" s="8">
        <f t="shared" si="38"/>
        <v>0.38958354290312847</v>
      </c>
      <c r="P472" s="8">
        <f t="shared" si="39"/>
        <v>11.807469512195121</v>
      </c>
    </row>
    <row r="473" spans="1:16" x14ac:dyDescent="0.35">
      <c r="A473" s="1">
        <v>5471</v>
      </c>
      <c r="B473" s="1" t="s">
        <v>97</v>
      </c>
      <c r="C473" s="1" t="s">
        <v>37</v>
      </c>
      <c r="D473" s="1" t="s">
        <v>23</v>
      </c>
      <c r="E473" s="5">
        <v>45603</v>
      </c>
      <c r="F473" s="5">
        <v>45617</v>
      </c>
      <c r="G473" s="2">
        <v>653.32000000000005</v>
      </c>
      <c r="H473" s="3">
        <v>47757</v>
      </c>
      <c r="I473" s="3">
        <v>322</v>
      </c>
      <c r="J473" s="3">
        <v>8</v>
      </c>
      <c r="K473" s="2">
        <v>1117.68</v>
      </c>
      <c r="L473" s="6">
        <f t="shared" si="35"/>
        <v>6.7424670728898385E-3</v>
      </c>
      <c r="M473" s="6">
        <f t="shared" si="36"/>
        <v>2.4844720496894408E-2</v>
      </c>
      <c r="N473" s="7">
        <f t="shared" si="37"/>
        <v>1.710769607543011</v>
      </c>
      <c r="O473" s="8">
        <f t="shared" si="38"/>
        <v>2.0289440993788821</v>
      </c>
      <c r="P473" s="8">
        <f t="shared" si="39"/>
        <v>81.665000000000006</v>
      </c>
    </row>
    <row r="474" spans="1:16" x14ac:dyDescent="0.35">
      <c r="A474" s="1">
        <v>5472</v>
      </c>
      <c r="B474" s="1" t="s">
        <v>65</v>
      </c>
      <c r="C474" s="1" t="s">
        <v>17</v>
      </c>
      <c r="D474" s="1" t="s">
        <v>23</v>
      </c>
      <c r="E474" s="5">
        <v>45741</v>
      </c>
      <c r="F474" s="5">
        <v>45768</v>
      </c>
      <c r="G474" s="2">
        <v>726.5</v>
      </c>
      <c r="H474" s="3">
        <v>74589</v>
      </c>
      <c r="I474" s="3">
        <v>1489</v>
      </c>
      <c r="J474" s="3">
        <v>55</v>
      </c>
      <c r="K474" s="2">
        <v>2571.8000000000002</v>
      </c>
      <c r="L474" s="6">
        <f t="shared" si="35"/>
        <v>1.9962729088739625E-2</v>
      </c>
      <c r="M474" s="6">
        <f t="shared" si="36"/>
        <v>3.6937541974479515E-2</v>
      </c>
      <c r="N474" s="7">
        <f t="shared" si="37"/>
        <v>3.5399862353750864</v>
      </c>
      <c r="O474" s="8">
        <f t="shared" si="38"/>
        <v>0.48791134989926127</v>
      </c>
      <c r="P474" s="8">
        <f t="shared" si="39"/>
        <v>13.209090909090909</v>
      </c>
    </row>
    <row r="475" spans="1:16" x14ac:dyDescent="0.35">
      <c r="A475" s="1">
        <v>5473</v>
      </c>
      <c r="B475" s="1" t="s">
        <v>144</v>
      </c>
      <c r="C475" s="1" t="s">
        <v>28</v>
      </c>
      <c r="D475" s="1" t="s">
        <v>26</v>
      </c>
      <c r="E475" s="5">
        <v>45687</v>
      </c>
      <c r="F475" s="5">
        <v>45723</v>
      </c>
      <c r="G475" s="2">
        <v>841.59</v>
      </c>
      <c r="H475" s="3">
        <v>40114</v>
      </c>
      <c r="I475" s="3">
        <v>2603</v>
      </c>
      <c r="J475" s="3">
        <v>103</v>
      </c>
      <c r="K475" s="2">
        <v>8970.27</v>
      </c>
      <c r="L475" s="6">
        <f t="shared" si="35"/>
        <v>6.489006331953931E-2</v>
      </c>
      <c r="M475" s="6">
        <f t="shared" si="36"/>
        <v>3.9569727237802534E-2</v>
      </c>
      <c r="N475" s="7">
        <f t="shared" si="37"/>
        <v>10.65871742772609</v>
      </c>
      <c r="O475" s="8">
        <f t="shared" si="38"/>
        <v>0.3233154053015751</v>
      </c>
      <c r="P475" s="8">
        <f t="shared" si="39"/>
        <v>8.1707766990291262</v>
      </c>
    </row>
    <row r="476" spans="1:16" x14ac:dyDescent="0.35">
      <c r="A476" s="1">
        <v>5474</v>
      </c>
      <c r="B476" s="1" t="s">
        <v>36</v>
      </c>
      <c r="C476" s="1" t="s">
        <v>37</v>
      </c>
      <c r="D476" s="1" t="s">
        <v>23</v>
      </c>
      <c r="E476" s="5">
        <v>45571</v>
      </c>
      <c r="F476" s="5">
        <v>45584</v>
      </c>
      <c r="G476" s="2">
        <v>7207.95</v>
      </c>
      <c r="H476" s="3">
        <v>234405</v>
      </c>
      <c r="I476" s="3">
        <v>1520</v>
      </c>
      <c r="J476" s="3">
        <v>54</v>
      </c>
      <c r="K476" s="2">
        <v>12658.14</v>
      </c>
      <c r="L476" s="6">
        <f t="shared" si="35"/>
        <v>6.4845033169087692E-3</v>
      </c>
      <c r="M476" s="6">
        <f t="shared" si="36"/>
        <v>3.5526315789473684E-2</v>
      </c>
      <c r="N476" s="7">
        <f t="shared" si="37"/>
        <v>1.7561359332403803</v>
      </c>
      <c r="O476" s="8">
        <f t="shared" si="38"/>
        <v>4.7420723684210522</v>
      </c>
      <c r="P476" s="8">
        <f t="shared" si="39"/>
        <v>133.48055555555555</v>
      </c>
    </row>
    <row r="477" spans="1:16" x14ac:dyDescent="0.35">
      <c r="A477" s="1">
        <v>5475</v>
      </c>
      <c r="B477" s="1" t="s">
        <v>39</v>
      </c>
      <c r="C477" s="1" t="s">
        <v>17</v>
      </c>
      <c r="D477" s="1" t="s">
        <v>26</v>
      </c>
      <c r="E477" s="5">
        <v>45585</v>
      </c>
      <c r="F477" s="5">
        <v>45614</v>
      </c>
      <c r="G477" s="2">
        <v>2599.58</v>
      </c>
      <c r="H477" s="3">
        <v>201206</v>
      </c>
      <c r="I477" s="3">
        <v>4209</v>
      </c>
      <c r="J477" s="3">
        <v>52</v>
      </c>
      <c r="K477" s="2">
        <v>3683.16</v>
      </c>
      <c r="L477" s="6">
        <f t="shared" si="35"/>
        <v>2.091885927855034E-2</v>
      </c>
      <c r="M477" s="6">
        <f t="shared" si="36"/>
        <v>1.235447849845569E-2</v>
      </c>
      <c r="N477" s="7">
        <f t="shared" si="37"/>
        <v>1.4168288723563036</v>
      </c>
      <c r="O477" s="8">
        <f t="shared" si="38"/>
        <v>0.61762413875029698</v>
      </c>
      <c r="P477" s="8">
        <f t="shared" si="39"/>
        <v>49.991923076923072</v>
      </c>
    </row>
    <row r="478" spans="1:16" x14ac:dyDescent="0.35">
      <c r="A478" s="1">
        <v>5476</v>
      </c>
      <c r="B478" s="1" t="s">
        <v>121</v>
      </c>
      <c r="C478" s="1" t="s">
        <v>25</v>
      </c>
      <c r="D478" s="1" t="s">
        <v>26</v>
      </c>
      <c r="E478" s="5">
        <v>45533</v>
      </c>
      <c r="F478" s="5">
        <v>45548</v>
      </c>
      <c r="G478" s="2">
        <v>946.62</v>
      </c>
      <c r="H478" s="3">
        <v>171489</v>
      </c>
      <c r="I478" s="3">
        <v>7198</v>
      </c>
      <c r="J478" s="3">
        <v>231</v>
      </c>
      <c r="K478" s="2">
        <v>23841.51</v>
      </c>
      <c r="L478" s="6">
        <f t="shared" si="35"/>
        <v>4.1973537661307722E-2</v>
      </c>
      <c r="M478" s="6">
        <f t="shared" si="36"/>
        <v>3.209224784662406E-2</v>
      </c>
      <c r="N478" s="7">
        <f t="shared" si="37"/>
        <v>25.185935222158836</v>
      </c>
      <c r="O478" s="8">
        <f t="shared" si="38"/>
        <v>0.13151153098082802</v>
      </c>
      <c r="P478" s="8">
        <f t="shared" si="39"/>
        <v>4.0979220779220782</v>
      </c>
    </row>
    <row r="479" spans="1:16" x14ac:dyDescent="0.35">
      <c r="A479" s="1">
        <v>5477</v>
      </c>
      <c r="B479" s="1" t="s">
        <v>88</v>
      </c>
      <c r="C479" s="1" t="s">
        <v>60</v>
      </c>
      <c r="D479" s="1" t="s">
        <v>38</v>
      </c>
      <c r="E479" s="5">
        <v>45789</v>
      </c>
      <c r="F479" s="5">
        <v>45792</v>
      </c>
      <c r="G479" s="2">
        <v>3203.91</v>
      </c>
      <c r="H479" s="3">
        <v>408142</v>
      </c>
      <c r="I479" s="3">
        <v>2155</v>
      </c>
      <c r="J479" s="3">
        <v>26</v>
      </c>
      <c r="K479" s="2">
        <v>1821.3</v>
      </c>
      <c r="L479" s="6">
        <f t="shared" si="35"/>
        <v>5.2800250893071526E-3</v>
      </c>
      <c r="M479" s="6">
        <f t="shared" si="36"/>
        <v>1.2064965197215777E-2</v>
      </c>
      <c r="N479" s="7">
        <f t="shared" si="37"/>
        <v>0.56846166090807793</v>
      </c>
      <c r="O479" s="8">
        <f t="shared" si="38"/>
        <v>1.4867331786542923</v>
      </c>
      <c r="P479" s="8">
        <f t="shared" si="39"/>
        <v>123.22730769230769</v>
      </c>
    </row>
    <row r="480" spans="1:16" x14ac:dyDescent="0.35">
      <c r="A480" s="1">
        <v>5478</v>
      </c>
      <c r="B480" s="1" t="s">
        <v>119</v>
      </c>
      <c r="C480" s="1" t="s">
        <v>60</v>
      </c>
      <c r="D480" s="1" t="s">
        <v>38</v>
      </c>
      <c r="E480" s="5">
        <v>45502</v>
      </c>
      <c r="F480" s="5">
        <v>45528</v>
      </c>
      <c r="G480" s="2">
        <v>84.51</v>
      </c>
      <c r="H480" s="3">
        <v>5431</v>
      </c>
      <c r="I480" s="3">
        <v>92</v>
      </c>
      <c r="J480" s="3">
        <v>1</v>
      </c>
      <c r="K480" s="2">
        <v>84.75</v>
      </c>
      <c r="L480" s="6">
        <f t="shared" si="35"/>
        <v>1.6939790093905359E-2</v>
      </c>
      <c r="M480" s="6">
        <f t="shared" si="36"/>
        <v>1.0869565217391304E-2</v>
      </c>
      <c r="N480" s="7">
        <f t="shared" si="37"/>
        <v>1.0028399006034787</v>
      </c>
      <c r="O480" s="8">
        <f t="shared" si="38"/>
        <v>0.91858695652173916</v>
      </c>
      <c r="P480" s="8">
        <f t="shared" si="39"/>
        <v>84.51</v>
      </c>
    </row>
    <row r="481" spans="1:16" x14ac:dyDescent="0.35">
      <c r="A481" s="1">
        <v>5479</v>
      </c>
      <c r="B481" s="1" t="s">
        <v>58</v>
      </c>
      <c r="C481" s="1" t="s">
        <v>17</v>
      </c>
      <c r="D481" s="1" t="s">
        <v>26</v>
      </c>
      <c r="E481" s="5">
        <v>45812</v>
      </c>
      <c r="F481" s="5">
        <v>45845</v>
      </c>
      <c r="G481" s="2">
        <v>217.92</v>
      </c>
      <c r="H481" s="3">
        <v>38031</v>
      </c>
      <c r="I481" s="3">
        <v>755</v>
      </c>
      <c r="J481" s="3">
        <v>18</v>
      </c>
      <c r="K481" s="2">
        <v>888.66</v>
      </c>
      <c r="L481" s="6">
        <f t="shared" si="35"/>
        <v>1.9852225815781863E-2</v>
      </c>
      <c r="M481" s="6">
        <f t="shared" si="36"/>
        <v>2.3841059602649008E-2</v>
      </c>
      <c r="N481" s="7">
        <f t="shared" si="37"/>
        <v>4.0779185022026434</v>
      </c>
      <c r="O481" s="8">
        <f t="shared" si="38"/>
        <v>0.28863576158940396</v>
      </c>
      <c r="P481" s="8">
        <f t="shared" si="39"/>
        <v>12.106666666666666</v>
      </c>
    </row>
    <row r="482" spans="1:16" x14ac:dyDescent="0.35">
      <c r="A482" s="1">
        <v>5480</v>
      </c>
      <c r="B482" s="1" t="s">
        <v>147</v>
      </c>
      <c r="C482" s="1" t="s">
        <v>41</v>
      </c>
      <c r="D482" s="1" t="s">
        <v>18</v>
      </c>
      <c r="E482" s="5">
        <v>45614</v>
      </c>
      <c r="F482" s="5">
        <v>45634</v>
      </c>
      <c r="G482" s="2">
        <v>1896.72</v>
      </c>
      <c r="H482" s="3">
        <v>231026</v>
      </c>
      <c r="I482" s="3">
        <v>8270</v>
      </c>
      <c r="J482" s="3">
        <v>79</v>
      </c>
      <c r="K482" s="2">
        <v>3722.48</v>
      </c>
      <c r="L482" s="6">
        <f t="shared" si="35"/>
        <v>3.5796836719676574E-2</v>
      </c>
      <c r="M482" s="6">
        <f t="shared" si="36"/>
        <v>9.5525997581620316E-3</v>
      </c>
      <c r="N482" s="7">
        <f t="shared" si="37"/>
        <v>1.9625880467333081</v>
      </c>
      <c r="O482" s="8">
        <f t="shared" si="38"/>
        <v>0.22934945586457073</v>
      </c>
      <c r="P482" s="8">
        <f t="shared" si="39"/>
        <v>24.009113924050634</v>
      </c>
    </row>
    <row r="483" spans="1:16" x14ac:dyDescent="0.35">
      <c r="A483" s="1">
        <v>5481</v>
      </c>
      <c r="B483" s="1" t="s">
        <v>49</v>
      </c>
      <c r="C483" s="1" t="s">
        <v>41</v>
      </c>
      <c r="D483" s="1" t="s">
        <v>38</v>
      </c>
      <c r="E483" s="5">
        <v>45481</v>
      </c>
      <c r="F483" s="5">
        <v>45514</v>
      </c>
      <c r="G483" s="2">
        <v>2504.8000000000002</v>
      </c>
      <c r="H483" s="3">
        <v>461289</v>
      </c>
      <c r="I483" s="3">
        <v>10105</v>
      </c>
      <c r="J483" s="3">
        <v>283</v>
      </c>
      <c r="K483" s="2">
        <v>4805.34</v>
      </c>
      <c r="L483" s="6">
        <f t="shared" si="35"/>
        <v>2.1906006863376321E-2</v>
      </c>
      <c r="M483" s="6">
        <f t="shared" si="36"/>
        <v>2.8005937654626424E-2</v>
      </c>
      <c r="N483" s="7">
        <f t="shared" si="37"/>
        <v>1.9184525710635578</v>
      </c>
      <c r="O483" s="8">
        <f t="shared" si="38"/>
        <v>0.24787728847105395</v>
      </c>
      <c r="P483" s="8">
        <f t="shared" si="39"/>
        <v>8.8508833922261498</v>
      </c>
    </row>
    <row r="484" spans="1:16" x14ac:dyDescent="0.35">
      <c r="A484" s="1">
        <v>5482</v>
      </c>
      <c r="B484" s="1" t="s">
        <v>65</v>
      </c>
      <c r="C484" s="1" t="s">
        <v>17</v>
      </c>
      <c r="D484" s="1" t="s">
        <v>26</v>
      </c>
      <c r="E484" s="5">
        <v>45514</v>
      </c>
      <c r="F484" s="5">
        <v>45550</v>
      </c>
      <c r="G484" s="2">
        <v>2082.39</v>
      </c>
      <c r="H484" s="3">
        <v>163710</v>
      </c>
      <c r="I484" s="3">
        <v>4082</v>
      </c>
      <c r="J484" s="3">
        <v>148</v>
      </c>
      <c r="K484" s="2">
        <v>5585.52</v>
      </c>
      <c r="L484" s="6">
        <f t="shared" si="35"/>
        <v>2.4934335104758416E-2</v>
      </c>
      <c r="M484" s="6">
        <f t="shared" si="36"/>
        <v>3.6256736893679566E-2</v>
      </c>
      <c r="N484" s="7">
        <f t="shared" si="37"/>
        <v>2.682264129197701</v>
      </c>
      <c r="O484" s="8">
        <f t="shared" si="38"/>
        <v>0.51013963743263102</v>
      </c>
      <c r="P484" s="8">
        <f t="shared" si="39"/>
        <v>14.070202702702701</v>
      </c>
    </row>
    <row r="485" spans="1:16" x14ac:dyDescent="0.35">
      <c r="A485" s="1">
        <v>5483</v>
      </c>
      <c r="B485" s="1" t="s">
        <v>93</v>
      </c>
      <c r="C485" s="1" t="s">
        <v>25</v>
      </c>
      <c r="D485" s="1" t="s">
        <v>20</v>
      </c>
      <c r="E485" s="5">
        <v>45568</v>
      </c>
      <c r="F485" s="5">
        <v>45578</v>
      </c>
      <c r="G485" s="2">
        <v>2317.14</v>
      </c>
      <c r="H485" s="3">
        <v>323171</v>
      </c>
      <c r="I485" s="3">
        <v>10749</v>
      </c>
      <c r="J485" s="3">
        <v>747</v>
      </c>
      <c r="K485" s="2">
        <v>31635.45</v>
      </c>
      <c r="L485" s="6">
        <f t="shared" si="35"/>
        <v>3.3261028990843856E-2</v>
      </c>
      <c r="M485" s="6">
        <f t="shared" si="36"/>
        <v>6.9494836728998047E-2</v>
      </c>
      <c r="N485" s="7">
        <f t="shared" si="37"/>
        <v>13.652800435019033</v>
      </c>
      <c r="O485" s="8">
        <f t="shared" si="38"/>
        <v>0.2155679598102149</v>
      </c>
      <c r="P485" s="8">
        <f t="shared" si="39"/>
        <v>3.1019277108433734</v>
      </c>
    </row>
    <row r="486" spans="1:16" x14ac:dyDescent="0.35">
      <c r="A486" s="1">
        <v>5484</v>
      </c>
      <c r="B486" s="1" t="s">
        <v>126</v>
      </c>
      <c r="C486" s="1" t="s">
        <v>28</v>
      </c>
      <c r="D486" s="1" t="s">
        <v>23</v>
      </c>
      <c r="E486" s="5">
        <v>45450</v>
      </c>
      <c r="F486" s="5">
        <v>45483</v>
      </c>
      <c r="G486" s="2">
        <v>6239.5</v>
      </c>
      <c r="H486" s="3">
        <v>485564</v>
      </c>
      <c r="I486" s="3">
        <v>33840</v>
      </c>
      <c r="J486" s="3">
        <v>2761</v>
      </c>
      <c r="K486" s="2">
        <v>260831.67</v>
      </c>
      <c r="L486" s="6">
        <f t="shared" si="35"/>
        <v>6.9692151806970859E-2</v>
      </c>
      <c r="M486" s="6">
        <f t="shared" si="36"/>
        <v>8.158983451536643E-2</v>
      </c>
      <c r="N486" s="7">
        <f t="shared" si="37"/>
        <v>41.803296738520714</v>
      </c>
      <c r="O486" s="8">
        <f t="shared" si="38"/>
        <v>0.1843823877068558</v>
      </c>
      <c r="P486" s="8">
        <f t="shared" si="39"/>
        <v>2.2598696124592541</v>
      </c>
    </row>
    <row r="487" spans="1:16" x14ac:dyDescent="0.35">
      <c r="A487" s="1">
        <v>5485</v>
      </c>
      <c r="B487" s="1" t="s">
        <v>128</v>
      </c>
      <c r="C487" s="1" t="s">
        <v>28</v>
      </c>
      <c r="D487" s="1" t="s">
        <v>26</v>
      </c>
      <c r="E487" s="5">
        <v>45463</v>
      </c>
      <c r="F487" s="5">
        <v>45494</v>
      </c>
      <c r="G487" s="2">
        <v>2395.62</v>
      </c>
      <c r="H487" s="3">
        <v>195401</v>
      </c>
      <c r="I487" s="3">
        <v>11559</v>
      </c>
      <c r="J487" s="3">
        <v>544</v>
      </c>
      <c r="K487" s="2">
        <v>30061.439999999999</v>
      </c>
      <c r="L487" s="6">
        <f t="shared" si="35"/>
        <v>5.9155275561537553E-2</v>
      </c>
      <c r="M487" s="6">
        <f t="shared" si="36"/>
        <v>4.7062894714075612E-2</v>
      </c>
      <c r="N487" s="7">
        <f t="shared" si="37"/>
        <v>12.54850101435119</v>
      </c>
      <c r="O487" s="8">
        <f t="shared" si="38"/>
        <v>0.20725149234362833</v>
      </c>
      <c r="P487" s="8">
        <f t="shared" si="39"/>
        <v>4.4037132352941173</v>
      </c>
    </row>
    <row r="488" spans="1:16" x14ac:dyDescent="0.35">
      <c r="A488" s="1">
        <v>5486</v>
      </c>
      <c r="B488" s="1" t="s">
        <v>69</v>
      </c>
      <c r="C488" s="1" t="s">
        <v>47</v>
      </c>
      <c r="D488" s="1" t="s">
        <v>18</v>
      </c>
      <c r="E488" s="5">
        <v>45600</v>
      </c>
      <c r="F488" s="5">
        <v>45633</v>
      </c>
      <c r="G488" s="2">
        <v>3049.33</v>
      </c>
      <c r="H488" s="3">
        <v>249332</v>
      </c>
      <c r="I488" s="3">
        <v>8215</v>
      </c>
      <c r="J488" s="3">
        <v>438</v>
      </c>
      <c r="K488" s="2">
        <v>32228.04</v>
      </c>
      <c r="L488" s="6">
        <f t="shared" si="35"/>
        <v>3.2948037155278907E-2</v>
      </c>
      <c r="M488" s="6">
        <f t="shared" si="36"/>
        <v>5.3317102860620816E-2</v>
      </c>
      <c r="N488" s="7">
        <f t="shared" si="37"/>
        <v>10.568892182872959</v>
      </c>
      <c r="O488" s="8">
        <f t="shared" si="38"/>
        <v>0.37119050517346319</v>
      </c>
      <c r="P488" s="8">
        <f t="shared" si="39"/>
        <v>6.9619406392694065</v>
      </c>
    </row>
    <row r="489" spans="1:16" x14ac:dyDescent="0.35">
      <c r="A489" s="1">
        <v>5487</v>
      </c>
      <c r="B489" s="1" t="s">
        <v>129</v>
      </c>
      <c r="C489" s="1" t="s">
        <v>47</v>
      </c>
      <c r="D489" s="1" t="s">
        <v>20</v>
      </c>
      <c r="E489" s="5">
        <v>45637</v>
      </c>
      <c r="F489" s="5">
        <v>45658</v>
      </c>
      <c r="G489" s="2">
        <v>507.68</v>
      </c>
      <c r="H489" s="3">
        <v>38000</v>
      </c>
      <c r="I489" s="3">
        <v>364</v>
      </c>
      <c r="J489" s="3">
        <v>9</v>
      </c>
      <c r="K489" s="2">
        <v>581.4</v>
      </c>
      <c r="L489" s="6">
        <f t="shared" si="35"/>
        <v>9.5789473684210532E-3</v>
      </c>
      <c r="M489" s="6">
        <f t="shared" si="36"/>
        <v>2.4725274725274724E-2</v>
      </c>
      <c r="N489" s="7">
        <f t="shared" si="37"/>
        <v>1.1452095808383234</v>
      </c>
      <c r="O489" s="8">
        <f t="shared" si="38"/>
        <v>1.3947252747252747</v>
      </c>
      <c r="P489" s="8">
        <f t="shared" si="39"/>
        <v>56.408888888888889</v>
      </c>
    </row>
    <row r="490" spans="1:16" x14ac:dyDescent="0.35">
      <c r="A490" s="1">
        <v>5488</v>
      </c>
      <c r="B490" s="1" t="s">
        <v>109</v>
      </c>
      <c r="C490" s="1" t="s">
        <v>28</v>
      </c>
      <c r="D490" s="1" t="s">
        <v>23</v>
      </c>
      <c r="E490" s="5">
        <v>45665</v>
      </c>
      <c r="F490" s="5">
        <v>45700</v>
      </c>
      <c r="G490" s="2">
        <v>1313.82</v>
      </c>
      <c r="H490" s="3">
        <v>77833</v>
      </c>
      <c r="I490" s="3">
        <v>6025</v>
      </c>
      <c r="J490" s="3">
        <v>314</v>
      </c>
      <c r="K490" s="2">
        <v>17935.68</v>
      </c>
      <c r="L490" s="6">
        <f t="shared" si="35"/>
        <v>7.7409325093469344E-2</v>
      </c>
      <c r="M490" s="6">
        <f t="shared" si="36"/>
        <v>5.2116182572614106E-2</v>
      </c>
      <c r="N490" s="7">
        <f t="shared" si="37"/>
        <v>13.651550440699641</v>
      </c>
      <c r="O490" s="8">
        <f t="shared" si="38"/>
        <v>0.21806141078838173</v>
      </c>
      <c r="P490" s="8">
        <f t="shared" si="39"/>
        <v>4.1841401273885346</v>
      </c>
    </row>
    <row r="491" spans="1:16" x14ac:dyDescent="0.35">
      <c r="A491" s="1">
        <v>5489</v>
      </c>
      <c r="B491" s="1" t="s">
        <v>30</v>
      </c>
      <c r="C491" s="1" t="s">
        <v>25</v>
      </c>
      <c r="D491" s="1" t="s">
        <v>20</v>
      </c>
      <c r="E491" s="5">
        <v>45524</v>
      </c>
      <c r="F491" s="5">
        <v>45560</v>
      </c>
      <c r="G491" s="2">
        <v>453.8</v>
      </c>
      <c r="H491" s="3">
        <v>122318</v>
      </c>
      <c r="I491" s="3">
        <v>1915</v>
      </c>
      <c r="J491" s="3">
        <v>76</v>
      </c>
      <c r="K491" s="2">
        <v>7435.84</v>
      </c>
      <c r="L491" s="6">
        <f t="shared" si="35"/>
        <v>1.5655913275233409E-2</v>
      </c>
      <c r="M491" s="6">
        <f t="shared" si="36"/>
        <v>3.9686684073107048E-2</v>
      </c>
      <c r="N491" s="7">
        <f t="shared" si="37"/>
        <v>16.385720581754075</v>
      </c>
      <c r="O491" s="8">
        <f t="shared" si="38"/>
        <v>0.23697127937336815</v>
      </c>
      <c r="P491" s="8">
        <f t="shared" si="39"/>
        <v>5.9710526315789476</v>
      </c>
    </row>
    <row r="492" spans="1:16" x14ac:dyDescent="0.35">
      <c r="A492" s="1">
        <v>5490</v>
      </c>
      <c r="B492" s="1" t="s">
        <v>63</v>
      </c>
      <c r="C492" s="1" t="s">
        <v>17</v>
      </c>
      <c r="D492" s="1" t="s">
        <v>26</v>
      </c>
      <c r="E492" s="5">
        <v>45637</v>
      </c>
      <c r="F492" s="5">
        <v>45657</v>
      </c>
      <c r="G492" s="2">
        <v>609.79</v>
      </c>
      <c r="H492" s="3">
        <v>48243</v>
      </c>
      <c r="I492" s="3">
        <v>719</v>
      </c>
      <c r="J492" s="3">
        <v>9</v>
      </c>
      <c r="K492" s="2">
        <v>329.67</v>
      </c>
      <c r="L492" s="6">
        <f t="shared" si="35"/>
        <v>1.490371660137222E-2</v>
      </c>
      <c r="M492" s="6">
        <f t="shared" si="36"/>
        <v>1.2517385257301807E-2</v>
      </c>
      <c r="N492" s="7">
        <f t="shared" si="37"/>
        <v>0.5406287410419981</v>
      </c>
      <c r="O492" s="8">
        <f t="shared" si="38"/>
        <v>0.84810848400556327</v>
      </c>
      <c r="P492" s="8">
        <f t="shared" si="39"/>
        <v>67.754444444444445</v>
      </c>
    </row>
    <row r="493" spans="1:16" x14ac:dyDescent="0.35">
      <c r="A493" s="1">
        <v>5491</v>
      </c>
      <c r="B493" s="1" t="s">
        <v>117</v>
      </c>
      <c r="C493" s="1" t="s">
        <v>22</v>
      </c>
      <c r="D493" s="1" t="s">
        <v>38</v>
      </c>
      <c r="E493" s="5">
        <v>45519</v>
      </c>
      <c r="F493" s="5">
        <v>45530</v>
      </c>
      <c r="G493" s="2">
        <v>182.62</v>
      </c>
      <c r="H493" s="3">
        <v>170674</v>
      </c>
      <c r="I493" s="3">
        <v>5949</v>
      </c>
      <c r="J493" s="3">
        <v>600</v>
      </c>
      <c r="K493" s="2">
        <v>37062</v>
      </c>
      <c r="L493" s="6">
        <f t="shared" si="35"/>
        <v>3.4855924159508771E-2</v>
      </c>
      <c r="M493" s="6">
        <f t="shared" si="36"/>
        <v>0.10085728693898134</v>
      </c>
      <c r="N493" s="7">
        <f t="shared" si="37"/>
        <v>202.94600810426022</v>
      </c>
      <c r="O493" s="8">
        <f t="shared" si="38"/>
        <v>3.0697596234661288E-2</v>
      </c>
      <c r="P493" s="8">
        <f t="shared" si="39"/>
        <v>0.30436666666666667</v>
      </c>
    </row>
    <row r="494" spans="1:16" x14ac:dyDescent="0.35">
      <c r="A494" s="1">
        <v>5492</v>
      </c>
      <c r="B494" s="1" t="s">
        <v>115</v>
      </c>
      <c r="C494" s="1" t="s">
        <v>47</v>
      </c>
      <c r="D494" s="1" t="s">
        <v>26</v>
      </c>
      <c r="E494" s="5">
        <v>45623</v>
      </c>
      <c r="F494" s="5">
        <v>45653</v>
      </c>
      <c r="G494" s="2">
        <v>3898.14</v>
      </c>
      <c r="H494" s="3">
        <v>317180</v>
      </c>
      <c r="I494" s="3">
        <v>9373</v>
      </c>
      <c r="J494" s="3">
        <v>343</v>
      </c>
      <c r="K494" s="2">
        <v>27707.54</v>
      </c>
      <c r="L494" s="6">
        <f t="shared" si="35"/>
        <v>2.9551043571473611E-2</v>
      </c>
      <c r="M494" s="6">
        <f t="shared" si="36"/>
        <v>3.6594473487677373E-2</v>
      </c>
      <c r="N494" s="7">
        <f t="shared" si="37"/>
        <v>7.1078873514034902</v>
      </c>
      <c r="O494" s="8">
        <f t="shared" si="38"/>
        <v>0.41589032326896402</v>
      </c>
      <c r="P494" s="8">
        <f t="shared" si="39"/>
        <v>11.364839650145772</v>
      </c>
    </row>
    <row r="495" spans="1:16" x14ac:dyDescent="0.35">
      <c r="A495" s="1">
        <v>5493</v>
      </c>
      <c r="B495" s="1" t="s">
        <v>46</v>
      </c>
      <c r="C495" s="1" t="s">
        <v>47</v>
      </c>
      <c r="D495" s="1" t="s">
        <v>23</v>
      </c>
      <c r="E495" s="5">
        <v>45784</v>
      </c>
      <c r="F495" s="5">
        <v>45802</v>
      </c>
      <c r="G495" s="2">
        <v>2949.47</v>
      </c>
      <c r="H495" s="3">
        <v>382551</v>
      </c>
      <c r="I495" s="3">
        <v>3560</v>
      </c>
      <c r="J495" s="3">
        <v>81</v>
      </c>
      <c r="K495" s="2">
        <v>6697.08</v>
      </c>
      <c r="L495" s="6">
        <f t="shared" si="35"/>
        <v>9.3059487493170837E-3</v>
      </c>
      <c r="M495" s="6">
        <f t="shared" si="36"/>
        <v>2.2752808988764046E-2</v>
      </c>
      <c r="N495" s="7">
        <f t="shared" si="37"/>
        <v>2.2706045492919067</v>
      </c>
      <c r="O495" s="8">
        <f t="shared" si="38"/>
        <v>0.82850280898876394</v>
      </c>
      <c r="P495" s="8">
        <f t="shared" si="39"/>
        <v>36.413209876543206</v>
      </c>
    </row>
    <row r="496" spans="1:16" x14ac:dyDescent="0.35">
      <c r="A496" s="1">
        <v>5494</v>
      </c>
      <c r="B496" s="1" t="s">
        <v>133</v>
      </c>
      <c r="C496" s="1" t="s">
        <v>41</v>
      </c>
      <c r="D496" s="1" t="s">
        <v>20</v>
      </c>
      <c r="E496" s="5">
        <v>45698</v>
      </c>
      <c r="F496" s="5">
        <v>45724</v>
      </c>
      <c r="G496" s="2">
        <v>1003.32</v>
      </c>
      <c r="H496" s="3">
        <v>194819</v>
      </c>
      <c r="I496" s="3">
        <v>2953</v>
      </c>
      <c r="J496" s="3">
        <v>53</v>
      </c>
      <c r="K496" s="2">
        <v>1750.06</v>
      </c>
      <c r="L496" s="6">
        <f t="shared" si="35"/>
        <v>1.5157659160554155E-2</v>
      </c>
      <c r="M496" s="6">
        <f t="shared" si="36"/>
        <v>1.7947849644429394E-2</v>
      </c>
      <c r="N496" s="7">
        <f t="shared" si="37"/>
        <v>1.7442690268309211</v>
      </c>
      <c r="O496" s="8">
        <f t="shared" si="38"/>
        <v>0.33976295292922454</v>
      </c>
      <c r="P496" s="8">
        <f t="shared" si="39"/>
        <v>18.930566037735851</v>
      </c>
    </row>
    <row r="497" spans="1:16" x14ac:dyDescent="0.35">
      <c r="A497" s="1">
        <v>5495</v>
      </c>
      <c r="B497" s="1" t="s">
        <v>139</v>
      </c>
      <c r="C497" s="1" t="s">
        <v>60</v>
      </c>
      <c r="D497" s="1" t="s">
        <v>20</v>
      </c>
      <c r="E497" s="5">
        <v>45540</v>
      </c>
      <c r="F497" s="5">
        <v>45561</v>
      </c>
      <c r="G497" s="2">
        <v>6136.2</v>
      </c>
      <c r="H497" s="3">
        <v>478643</v>
      </c>
      <c r="I497" s="3">
        <v>6855</v>
      </c>
      <c r="J497" s="3">
        <v>224</v>
      </c>
      <c r="K497" s="2">
        <v>19776.96</v>
      </c>
      <c r="L497" s="6">
        <f t="shared" si="35"/>
        <v>1.4321738748921431E-2</v>
      </c>
      <c r="M497" s="6">
        <f t="shared" si="36"/>
        <v>3.2676878191101384E-2</v>
      </c>
      <c r="N497" s="7">
        <f t="shared" si="37"/>
        <v>3.2229979466119096</v>
      </c>
      <c r="O497" s="8">
        <f t="shared" si="38"/>
        <v>0.89514223194748355</v>
      </c>
      <c r="P497" s="8">
        <f t="shared" si="39"/>
        <v>27.393750000000001</v>
      </c>
    </row>
    <row r="498" spans="1:16" x14ac:dyDescent="0.35">
      <c r="A498" s="1">
        <v>5496</v>
      </c>
      <c r="B498" s="1" t="s">
        <v>81</v>
      </c>
      <c r="C498" s="1" t="s">
        <v>28</v>
      </c>
      <c r="D498" s="1" t="s">
        <v>23</v>
      </c>
      <c r="E498" s="5">
        <v>45631</v>
      </c>
      <c r="F498" s="5">
        <v>45666</v>
      </c>
      <c r="G498" s="2">
        <v>500.13</v>
      </c>
      <c r="H498" s="3">
        <v>21707</v>
      </c>
      <c r="I498" s="3">
        <v>659</v>
      </c>
      <c r="J498" s="3">
        <v>60</v>
      </c>
      <c r="K498" s="2">
        <v>3904.8</v>
      </c>
      <c r="L498" s="6">
        <f t="shared" si="35"/>
        <v>3.0358870410466671E-2</v>
      </c>
      <c r="M498" s="6">
        <f t="shared" si="36"/>
        <v>9.1047040971168433E-2</v>
      </c>
      <c r="N498" s="7">
        <f t="shared" si="37"/>
        <v>7.8075700317917347</v>
      </c>
      <c r="O498" s="8">
        <f t="shared" si="38"/>
        <v>0.75892261001517447</v>
      </c>
      <c r="P498" s="8">
        <f t="shared" si="39"/>
        <v>8.3354999999999997</v>
      </c>
    </row>
    <row r="499" spans="1:16" x14ac:dyDescent="0.35">
      <c r="A499" s="1">
        <v>5497</v>
      </c>
      <c r="B499" s="1" t="s">
        <v>111</v>
      </c>
      <c r="C499" s="1" t="s">
        <v>25</v>
      </c>
      <c r="D499" s="1" t="s">
        <v>23</v>
      </c>
      <c r="E499" s="5">
        <v>45725</v>
      </c>
      <c r="F499" s="5">
        <v>45753</v>
      </c>
      <c r="G499" s="2">
        <v>222.37</v>
      </c>
      <c r="H499" s="3">
        <v>72671</v>
      </c>
      <c r="I499" s="3">
        <v>2662</v>
      </c>
      <c r="J499" s="3">
        <v>171</v>
      </c>
      <c r="K499" s="2">
        <v>5743.89</v>
      </c>
      <c r="L499" s="6">
        <f t="shared" si="35"/>
        <v>3.6630843114860125E-2</v>
      </c>
      <c r="M499" s="6">
        <f t="shared" si="36"/>
        <v>6.4237415477084905E-2</v>
      </c>
      <c r="N499" s="7">
        <f t="shared" si="37"/>
        <v>25.830327831991728</v>
      </c>
      <c r="O499" s="8">
        <f t="shared" si="38"/>
        <v>8.3534936138241922E-2</v>
      </c>
      <c r="P499" s="8">
        <f t="shared" si="39"/>
        <v>1.3004093567251462</v>
      </c>
    </row>
    <row r="500" spans="1:16" x14ac:dyDescent="0.35">
      <c r="A500" s="1">
        <v>5498</v>
      </c>
      <c r="B500" s="1" t="s">
        <v>125</v>
      </c>
      <c r="C500" s="1" t="s">
        <v>41</v>
      </c>
      <c r="D500" s="1" t="s">
        <v>18</v>
      </c>
      <c r="E500" s="5">
        <v>45757</v>
      </c>
      <c r="F500" s="5">
        <v>45800</v>
      </c>
      <c r="G500" s="2">
        <v>55.51</v>
      </c>
      <c r="H500" s="3">
        <v>18199</v>
      </c>
      <c r="I500" s="3">
        <v>341</v>
      </c>
      <c r="J500" s="3">
        <v>9</v>
      </c>
      <c r="K500" s="2">
        <v>441.45</v>
      </c>
      <c r="L500" s="6">
        <f t="shared" si="35"/>
        <v>1.8737293257871313E-2</v>
      </c>
      <c r="M500" s="6">
        <f t="shared" si="36"/>
        <v>2.6392961876832845E-2</v>
      </c>
      <c r="N500" s="7">
        <f t="shared" si="37"/>
        <v>7.9526211493424608</v>
      </c>
      <c r="O500" s="8">
        <f t="shared" si="38"/>
        <v>0.16278592375366568</v>
      </c>
      <c r="P500" s="8">
        <f t="shared" si="39"/>
        <v>6.1677777777777774</v>
      </c>
    </row>
    <row r="501" spans="1:16" x14ac:dyDescent="0.35">
      <c r="A501" s="1">
        <v>5499</v>
      </c>
      <c r="B501" s="1" t="s">
        <v>50</v>
      </c>
      <c r="C501" s="1" t="s">
        <v>22</v>
      </c>
      <c r="D501" s="1" t="s">
        <v>26</v>
      </c>
      <c r="E501" s="5">
        <v>45748</v>
      </c>
      <c r="F501" s="5">
        <v>45791</v>
      </c>
      <c r="G501" s="2">
        <v>311.61</v>
      </c>
      <c r="H501" s="3">
        <v>270962</v>
      </c>
      <c r="I501" s="3">
        <v>5628</v>
      </c>
      <c r="J501" s="3">
        <v>607</v>
      </c>
      <c r="K501" s="2">
        <v>47212.46</v>
      </c>
      <c r="L501" s="6">
        <f t="shared" si="35"/>
        <v>2.0770440135517158E-2</v>
      </c>
      <c r="M501" s="6">
        <f t="shared" si="36"/>
        <v>0.10785358919687278</v>
      </c>
      <c r="N501" s="7">
        <f t="shared" si="37"/>
        <v>151.51137639998714</v>
      </c>
      <c r="O501" s="8">
        <f t="shared" si="38"/>
        <v>5.5367803837953096E-2</v>
      </c>
      <c r="P501" s="8">
        <f t="shared" si="39"/>
        <v>0.51336079077429986</v>
      </c>
    </row>
  </sheetData>
  <autoFilter ref="A1:P5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3214F-2269-4132-8212-8001EF0013EC}">
  <dimension ref="A3:J34"/>
  <sheetViews>
    <sheetView topLeftCell="A19" workbookViewId="0">
      <selection activeCell="D37" sqref="D37"/>
    </sheetView>
  </sheetViews>
  <sheetFormatPr defaultRowHeight="14.5" x14ac:dyDescent="0.35"/>
  <cols>
    <col min="1" max="1" width="15.453125" bestFit="1" customWidth="1"/>
    <col min="2" max="2" width="14.36328125" bestFit="1" customWidth="1"/>
    <col min="4" max="4" width="15.453125" bestFit="1" customWidth="1"/>
    <col min="5" max="5" width="11.81640625" bestFit="1" customWidth="1"/>
    <col min="8" max="8" width="15.453125" bestFit="1" customWidth="1"/>
    <col min="9" max="9" width="12.26953125" bestFit="1" customWidth="1"/>
    <col min="10" max="10" width="14.36328125" bestFit="1" customWidth="1"/>
  </cols>
  <sheetData>
    <row r="3" spans="1:10" x14ac:dyDescent="0.35">
      <c r="A3" s="32" t="s">
        <v>176</v>
      </c>
      <c r="B3" t="s">
        <v>178</v>
      </c>
      <c r="D3" s="32" t="s">
        <v>176</v>
      </c>
      <c r="E3" t="s">
        <v>179</v>
      </c>
      <c r="H3" s="32" t="s">
        <v>176</v>
      </c>
      <c r="I3" t="s">
        <v>178</v>
      </c>
      <c r="J3" t="s">
        <v>180</v>
      </c>
    </row>
    <row r="4" spans="1:10" x14ac:dyDescent="0.35">
      <c r="A4" s="33" t="s">
        <v>25</v>
      </c>
      <c r="B4" s="34">
        <v>2181109.4099999997</v>
      </c>
      <c r="D4" s="33" t="s">
        <v>25</v>
      </c>
      <c r="E4" s="34">
        <v>23.067056090111198</v>
      </c>
      <c r="H4" s="33" t="s">
        <v>25</v>
      </c>
      <c r="I4" s="34">
        <v>2181109.4099999997</v>
      </c>
      <c r="J4" s="34">
        <v>94555.17</v>
      </c>
    </row>
    <row r="5" spans="1:10" x14ac:dyDescent="0.35">
      <c r="A5" s="33" t="s">
        <v>22</v>
      </c>
      <c r="B5" s="34">
        <v>3453251.9199999995</v>
      </c>
      <c r="D5" s="33" t="s">
        <v>22</v>
      </c>
      <c r="E5" s="34">
        <v>170.61951264582262</v>
      </c>
      <c r="H5" s="33" t="s">
        <v>22</v>
      </c>
      <c r="I5" s="34">
        <v>3453251.9199999995</v>
      </c>
      <c r="J5" s="34">
        <v>20239.489999999994</v>
      </c>
    </row>
    <row r="6" spans="1:10" x14ac:dyDescent="0.35">
      <c r="A6" s="33" t="s">
        <v>47</v>
      </c>
      <c r="B6" s="34">
        <v>820762.00000000023</v>
      </c>
      <c r="D6" s="33" t="s">
        <v>47</v>
      </c>
      <c r="E6" s="34">
        <v>5.3194763028653949</v>
      </c>
      <c r="H6" s="33" t="s">
        <v>47</v>
      </c>
      <c r="I6" s="34">
        <v>820762.00000000023</v>
      </c>
      <c r="J6" s="34">
        <v>154293.75999999995</v>
      </c>
    </row>
    <row r="7" spans="1:10" x14ac:dyDescent="0.35">
      <c r="A7" s="33" t="s">
        <v>28</v>
      </c>
      <c r="B7" s="34">
        <v>4401879.9800000004</v>
      </c>
      <c r="D7" s="33" t="s">
        <v>28</v>
      </c>
      <c r="E7" s="34">
        <v>15.972531938859163</v>
      </c>
      <c r="H7" s="33" t="s">
        <v>28</v>
      </c>
      <c r="I7" s="34">
        <v>4401879.9800000004</v>
      </c>
      <c r="J7" s="34">
        <v>275590.62000000011</v>
      </c>
    </row>
    <row r="8" spans="1:10" x14ac:dyDescent="0.35">
      <c r="A8" s="33" t="s">
        <v>17</v>
      </c>
      <c r="B8" s="34">
        <v>415144.27999999991</v>
      </c>
      <c r="D8" s="33" t="s">
        <v>17</v>
      </c>
      <c r="E8" s="34">
        <v>3.1340927784268162</v>
      </c>
      <c r="H8" s="33" t="s">
        <v>17</v>
      </c>
      <c r="I8" s="34">
        <v>415144.27999999991</v>
      </c>
      <c r="J8" s="34">
        <v>132460.75</v>
      </c>
    </row>
    <row r="9" spans="1:10" x14ac:dyDescent="0.35">
      <c r="A9" s="33" t="s">
        <v>37</v>
      </c>
      <c r="B9" s="34">
        <v>513536.53</v>
      </c>
      <c r="D9" s="33" t="s">
        <v>37</v>
      </c>
      <c r="E9" s="34">
        <v>1.7479997633645583</v>
      </c>
      <c r="H9" s="33" t="s">
        <v>37</v>
      </c>
      <c r="I9" s="34">
        <v>513536.53</v>
      </c>
      <c r="J9" s="34">
        <v>293785.24000000005</v>
      </c>
    </row>
    <row r="10" spans="1:10" x14ac:dyDescent="0.35">
      <c r="A10" s="33" t="s">
        <v>41</v>
      </c>
      <c r="B10" s="34">
        <v>312618.48000000004</v>
      </c>
      <c r="D10" s="33" t="s">
        <v>41</v>
      </c>
      <c r="E10" s="34">
        <v>3.0806925216027432</v>
      </c>
      <c r="H10" s="33" t="s">
        <v>41</v>
      </c>
      <c r="I10" s="34">
        <v>312618.48000000004</v>
      </c>
      <c r="J10" s="34">
        <v>101476.69000000005</v>
      </c>
    </row>
    <row r="11" spans="1:10" x14ac:dyDescent="0.35">
      <c r="A11" s="33" t="s">
        <v>60</v>
      </c>
      <c r="B11" s="34">
        <v>203135.99</v>
      </c>
      <c r="D11" s="33" t="s">
        <v>60</v>
      </c>
      <c r="E11" s="34">
        <v>1.215595220463382</v>
      </c>
      <c r="H11" s="33" t="s">
        <v>60</v>
      </c>
      <c r="I11" s="34">
        <v>203135.99</v>
      </c>
      <c r="J11" s="34">
        <v>167108.25000000003</v>
      </c>
    </row>
    <row r="12" spans="1:10" x14ac:dyDescent="0.35">
      <c r="A12" s="33" t="s">
        <v>177</v>
      </c>
      <c r="B12" s="34">
        <v>12301438.589999998</v>
      </c>
      <c r="D12" s="33" t="s">
        <v>177</v>
      </c>
      <c r="E12" s="34">
        <v>224.15695726151586</v>
      </c>
      <c r="H12" s="33" t="s">
        <v>177</v>
      </c>
      <c r="I12" s="34">
        <v>12301438.589999998</v>
      </c>
      <c r="J12" s="34">
        <v>1239509.97</v>
      </c>
    </row>
    <row r="17" spans="1:10" x14ac:dyDescent="0.35">
      <c r="A17" s="32" t="s">
        <v>176</v>
      </c>
      <c r="B17" t="s">
        <v>178</v>
      </c>
    </row>
    <row r="18" spans="1:10" x14ac:dyDescent="0.35">
      <c r="A18" s="33" t="s">
        <v>25</v>
      </c>
      <c r="B18" s="34">
        <v>2181109.4099999997</v>
      </c>
    </row>
    <row r="19" spans="1:10" x14ac:dyDescent="0.35">
      <c r="A19" s="33" t="s">
        <v>22</v>
      </c>
      <c r="B19" s="34">
        <v>3453251.9199999995</v>
      </c>
    </row>
    <row r="20" spans="1:10" x14ac:dyDescent="0.35">
      <c r="A20" s="33" t="s">
        <v>47</v>
      </c>
      <c r="B20" s="34">
        <v>820762.00000000023</v>
      </c>
    </row>
    <row r="21" spans="1:10" x14ac:dyDescent="0.35">
      <c r="A21" s="33" t="s">
        <v>28</v>
      </c>
      <c r="B21" s="34">
        <v>4401879.9800000004</v>
      </c>
    </row>
    <row r="22" spans="1:10" x14ac:dyDescent="0.35">
      <c r="A22" s="33" t="s">
        <v>17</v>
      </c>
      <c r="B22" s="34">
        <v>415144.27999999991</v>
      </c>
    </row>
    <row r="23" spans="1:10" x14ac:dyDescent="0.35">
      <c r="A23" s="33" t="s">
        <v>37</v>
      </c>
      <c r="B23" s="34">
        <v>513536.53</v>
      </c>
    </row>
    <row r="24" spans="1:10" x14ac:dyDescent="0.35">
      <c r="A24" s="33" t="s">
        <v>41</v>
      </c>
      <c r="B24" s="34">
        <v>312618.48000000004</v>
      </c>
    </row>
    <row r="25" spans="1:10" x14ac:dyDescent="0.35">
      <c r="A25" s="33" t="s">
        <v>60</v>
      </c>
      <c r="B25" s="34">
        <v>203135.99</v>
      </c>
    </row>
    <row r="26" spans="1:10" x14ac:dyDescent="0.35">
      <c r="A26" s="33" t="s">
        <v>177</v>
      </c>
      <c r="B26" s="34">
        <v>12301438.589999998</v>
      </c>
    </row>
    <row r="27" spans="1:10" x14ac:dyDescent="0.35">
      <c r="A27" s="33"/>
      <c r="B27" s="34"/>
    </row>
    <row r="28" spans="1:10" x14ac:dyDescent="0.35">
      <c r="A28" s="32" t="s">
        <v>176</v>
      </c>
      <c r="B28" t="s">
        <v>178</v>
      </c>
      <c r="D28" s="32" t="s">
        <v>176</v>
      </c>
      <c r="E28" t="s">
        <v>179</v>
      </c>
      <c r="H28" s="32" t="s">
        <v>176</v>
      </c>
      <c r="I28" t="s">
        <v>180</v>
      </c>
      <c r="J28" t="s">
        <v>178</v>
      </c>
    </row>
    <row r="29" spans="1:10" x14ac:dyDescent="0.35">
      <c r="A29" s="33" t="s">
        <v>26</v>
      </c>
      <c r="B29" s="34">
        <v>2816303.9199999995</v>
      </c>
      <c r="D29" s="33" t="s">
        <v>26</v>
      </c>
      <c r="E29" s="34">
        <v>11.375639926820842</v>
      </c>
      <c r="H29" s="33" t="s">
        <v>26</v>
      </c>
      <c r="I29" s="34">
        <v>247573.22999999998</v>
      </c>
      <c r="J29" s="34">
        <v>2816303.9199999995</v>
      </c>
    </row>
    <row r="30" spans="1:10" x14ac:dyDescent="0.35">
      <c r="A30" s="33" t="s">
        <v>38</v>
      </c>
      <c r="B30" s="34">
        <v>2200752.6400000006</v>
      </c>
      <c r="D30" s="33" t="s">
        <v>38</v>
      </c>
      <c r="E30" s="34">
        <v>8.3808893027801563</v>
      </c>
      <c r="H30" s="33" t="s">
        <v>38</v>
      </c>
      <c r="I30" s="34">
        <v>262591.78000000003</v>
      </c>
      <c r="J30" s="34">
        <v>2200752.6400000006</v>
      </c>
    </row>
    <row r="31" spans="1:10" x14ac:dyDescent="0.35">
      <c r="A31" s="33" t="s">
        <v>23</v>
      </c>
      <c r="B31" s="34">
        <v>3676561.74</v>
      </c>
      <c r="D31" s="33" t="s">
        <v>23</v>
      </c>
      <c r="E31" s="34">
        <v>13.455497635894307</v>
      </c>
      <c r="H31" s="33" t="s">
        <v>23</v>
      </c>
      <c r="I31" s="34">
        <v>273238.63000000006</v>
      </c>
      <c r="J31" s="34">
        <v>3676561.74</v>
      </c>
    </row>
    <row r="32" spans="1:10" x14ac:dyDescent="0.35">
      <c r="A32" s="33" t="s">
        <v>20</v>
      </c>
      <c r="B32" s="34">
        <v>2131725.96</v>
      </c>
      <c r="D32" s="33" t="s">
        <v>20</v>
      </c>
      <c r="E32" s="34">
        <v>8.7984162795918301</v>
      </c>
      <c r="H32" s="33" t="s">
        <v>20</v>
      </c>
      <c r="I32" s="34">
        <v>242285.19000000003</v>
      </c>
      <c r="J32" s="34">
        <v>2131725.96</v>
      </c>
    </row>
    <row r="33" spans="1:10" x14ac:dyDescent="0.35">
      <c r="A33" s="33" t="s">
        <v>18</v>
      </c>
      <c r="B33" s="34">
        <v>1476094.33</v>
      </c>
      <c r="D33" s="33" t="s">
        <v>18</v>
      </c>
      <c r="E33" s="34">
        <v>6.9034068848384198</v>
      </c>
      <c r="H33" s="33" t="s">
        <v>18</v>
      </c>
      <c r="I33" s="34">
        <v>213821.14000000007</v>
      </c>
      <c r="J33" s="34">
        <v>1476094.33</v>
      </c>
    </row>
    <row r="34" spans="1:10" x14ac:dyDescent="0.35">
      <c r="A34" s="33" t="s">
        <v>177</v>
      </c>
      <c r="B34" s="34">
        <v>12301438.590000002</v>
      </c>
      <c r="D34" s="33" t="s">
        <v>177</v>
      </c>
      <c r="E34" s="34">
        <v>48.913850029925555</v>
      </c>
      <c r="H34" s="33" t="s">
        <v>177</v>
      </c>
      <c r="I34" s="34">
        <v>1239509.9700000002</v>
      </c>
      <c r="J34" s="34">
        <v>12301438.590000002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4"/>
  <sheetViews>
    <sheetView workbookViewId="0">
      <pane ySplit="2" topLeftCell="A19" activePane="bottomLeft" state="frozen"/>
      <selection pane="bottomLeft" activeCell="B32" sqref="A28:H34"/>
    </sheetView>
  </sheetViews>
  <sheetFormatPr defaultRowHeight="14.5" x14ac:dyDescent="0.35"/>
  <cols>
    <col min="1" max="1" width="28" customWidth="1"/>
    <col min="2" max="8" width="18" customWidth="1"/>
  </cols>
  <sheetData>
    <row r="1" spans="1:8" ht="19.5" x14ac:dyDescent="0.35">
      <c r="A1" s="18" t="s">
        <v>149</v>
      </c>
      <c r="B1" s="15"/>
      <c r="C1" s="16"/>
      <c r="D1" s="16"/>
      <c r="E1" s="15"/>
      <c r="F1" s="15"/>
      <c r="G1" s="15"/>
      <c r="H1" s="17"/>
    </row>
    <row r="2" spans="1:8" x14ac:dyDescent="0.35">
      <c r="C2" s="9"/>
      <c r="D2" s="9"/>
      <c r="H2" s="7"/>
    </row>
    <row r="3" spans="1:8" x14ac:dyDescent="0.35">
      <c r="A3" s="4" t="s">
        <v>150</v>
      </c>
      <c r="B3" s="4">
        <f>COUNTA('Campaign Data'!A2:A501)</f>
        <v>500</v>
      </c>
      <c r="C3" s="9"/>
      <c r="D3" s="9"/>
      <c r="H3" s="7"/>
    </row>
    <row r="4" spans="1:8" x14ac:dyDescent="0.35">
      <c r="A4" s="10" t="s">
        <v>151</v>
      </c>
      <c r="B4" s="11">
        <f>SUM('Campaign Data'!G2:G501)</f>
        <v>1239509.9700000014</v>
      </c>
      <c r="C4" s="9"/>
      <c r="D4" s="9"/>
      <c r="H4" s="7"/>
    </row>
    <row r="5" spans="1:8" x14ac:dyDescent="0.35">
      <c r="A5" s="10" t="s">
        <v>152</v>
      </c>
      <c r="B5" s="11">
        <f>SUM('Campaign Data'!K2:K501)</f>
        <v>12301438.589999996</v>
      </c>
      <c r="C5" s="9"/>
      <c r="D5" s="9"/>
      <c r="H5" s="7"/>
    </row>
    <row r="6" spans="1:8" x14ac:dyDescent="0.35">
      <c r="A6" s="10" t="s">
        <v>153</v>
      </c>
      <c r="B6">
        <f>SUM('Campaign Data'!H2:H501)</f>
        <v>125564569</v>
      </c>
      <c r="C6" s="9"/>
      <c r="D6" s="9"/>
      <c r="H6" s="7"/>
    </row>
    <row r="7" spans="1:8" x14ac:dyDescent="0.35">
      <c r="A7" s="10" t="s">
        <v>154</v>
      </c>
      <c r="B7">
        <f>SUM('Campaign Data'!I2:I501)</f>
        <v>3547356</v>
      </c>
      <c r="C7" s="9"/>
      <c r="D7" s="9"/>
      <c r="H7" s="7"/>
    </row>
    <row r="8" spans="1:8" x14ac:dyDescent="0.35">
      <c r="A8" s="10" t="s">
        <v>155</v>
      </c>
      <c r="B8">
        <f>SUM('Campaign Data'!J2:J501)</f>
        <v>183272</v>
      </c>
      <c r="C8" s="9"/>
      <c r="D8" s="9"/>
      <c r="H8" s="7"/>
    </row>
    <row r="9" spans="1:8" x14ac:dyDescent="0.35">
      <c r="A9" s="10" t="s">
        <v>156</v>
      </c>
      <c r="B9" s="6">
        <f>IFERROR(SUM('Campaign Data'!I2:I501)/SUM('Campaign Data'!H2:H501),0)</f>
        <v>2.8251249761387705E-2</v>
      </c>
      <c r="C9" s="9"/>
      <c r="D9" s="9"/>
      <c r="H9" s="7"/>
    </row>
    <row r="10" spans="1:8" x14ac:dyDescent="0.35">
      <c r="A10" s="10" t="s">
        <v>157</v>
      </c>
      <c r="B10" s="6">
        <f>IFERROR(SUM('Campaign Data'!J2:J501)/SUM('Campaign Data'!I2:I501),0)</f>
        <v>5.166439455188597E-2</v>
      </c>
      <c r="C10" s="9"/>
      <c r="D10" s="9"/>
      <c r="H10" s="7"/>
    </row>
    <row r="11" spans="1:8" x14ac:dyDescent="0.35">
      <c r="A11" s="10" t="s">
        <v>158</v>
      </c>
      <c r="B11" s="7">
        <f>IFERROR(SUM('Campaign Data'!K2:K501)/SUM('Campaign Data'!G2:G501),0)</f>
        <v>9.924436985367679</v>
      </c>
      <c r="C11" s="9"/>
      <c r="D11" s="9"/>
      <c r="H11" s="7"/>
    </row>
    <row r="12" spans="1:8" x14ac:dyDescent="0.35">
      <c r="C12" s="9"/>
      <c r="D12" s="9"/>
      <c r="H12" s="7"/>
    </row>
    <row r="13" spans="1:8" x14ac:dyDescent="0.35">
      <c r="C13" s="9"/>
      <c r="D13" s="9"/>
      <c r="H13" s="7"/>
    </row>
    <row r="14" spans="1:8" x14ac:dyDescent="0.35">
      <c r="C14" s="9"/>
      <c r="D14" s="9"/>
      <c r="H14" s="7"/>
    </row>
    <row r="15" spans="1:8" x14ac:dyDescent="0.35">
      <c r="A15" s="14" t="s">
        <v>159</v>
      </c>
      <c r="B15" s="15"/>
      <c r="C15" s="16"/>
      <c r="D15" s="16"/>
      <c r="E15" s="15"/>
      <c r="F15" s="15"/>
      <c r="G15" s="15"/>
      <c r="H15" s="17"/>
    </row>
    <row r="16" spans="1:8" x14ac:dyDescent="0.35">
      <c r="A16" s="4" t="s">
        <v>160</v>
      </c>
      <c r="B16" s="4" t="s">
        <v>161</v>
      </c>
      <c r="C16" s="12" t="s">
        <v>162</v>
      </c>
      <c r="D16" s="12" t="s">
        <v>163</v>
      </c>
      <c r="E16" s="4" t="s">
        <v>164</v>
      </c>
      <c r="F16" s="4" t="s">
        <v>165</v>
      </c>
      <c r="G16" s="4" t="s">
        <v>166</v>
      </c>
      <c r="H16" s="13" t="s">
        <v>167</v>
      </c>
    </row>
    <row r="17" spans="1:8" x14ac:dyDescent="0.35">
      <c r="A17" t="s">
        <v>25</v>
      </c>
      <c r="B17">
        <f>COUNTIF('Campaign Data'!C:C,A17)</f>
        <v>80</v>
      </c>
      <c r="C17" s="9">
        <f>SUMIF('Campaign Data'!C:C,A17,'Campaign Data'!G:G)</f>
        <v>94555.17</v>
      </c>
      <c r="D17" s="9">
        <f>SUMIF('Campaign Data'!C:C,A17,'Campaign Data'!K:K)</f>
        <v>2181109.4099999997</v>
      </c>
      <c r="E17">
        <f>SUMIF('Campaign Data'!C:C,A17,'Campaign Data'!H:H)</f>
        <v>18683368</v>
      </c>
      <c r="F17">
        <f>SUMIF('Campaign Data'!C:C,A17,'Campaign Data'!I:I)</f>
        <v>637183</v>
      </c>
      <c r="G17">
        <f>SUMIF('Campaign Data'!C:C,A17,'Campaign Data'!J:J)</f>
        <v>30455</v>
      </c>
      <c r="H17" s="7">
        <f t="shared" ref="H17:H24" si="0">IFERROR(D17/C17,0)</f>
        <v>23.067056090111198</v>
      </c>
    </row>
    <row r="18" spans="1:8" x14ac:dyDescent="0.35">
      <c r="A18" t="s">
        <v>22</v>
      </c>
      <c r="B18">
        <f>COUNTIF('Campaign Data'!C:C,A18)</f>
        <v>63</v>
      </c>
      <c r="C18" s="9">
        <f>SUMIF('Campaign Data'!C:C,A18,'Campaign Data'!G:G)</f>
        <v>20239.489999999994</v>
      </c>
      <c r="D18" s="9">
        <f>SUMIF('Campaign Data'!C:C,A18,'Campaign Data'!K:K)</f>
        <v>3453251.9199999995</v>
      </c>
      <c r="E18">
        <f>SUMIF('Campaign Data'!C:C,A18,'Campaign Data'!H:H)</f>
        <v>16547252</v>
      </c>
      <c r="F18">
        <f>SUMIF('Campaign Data'!C:C,A18,'Campaign Data'!I:I)</f>
        <v>703577</v>
      </c>
      <c r="G18">
        <f>SUMIF('Campaign Data'!C:C,A18,'Campaign Data'!J:J)</f>
        <v>60144</v>
      </c>
      <c r="H18" s="7">
        <f t="shared" si="0"/>
        <v>170.61951264582262</v>
      </c>
    </row>
    <row r="19" spans="1:8" x14ac:dyDescent="0.35">
      <c r="A19" t="s">
        <v>47</v>
      </c>
      <c r="B19">
        <f>COUNTIF('Campaign Data'!C:C,A19)</f>
        <v>66</v>
      </c>
      <c r="C19" s="9">
        <f>SUMIF('Campaign Data'!C:C,A19,'Campaign Data'!G:G)</f>
        <v>154293.75999999995</v>
      </c>
      <c r="D19" s="9">
        <f>SUMIF('Campaign Data'!C:C,A19,'Campaign Data'!K:K)</f>
        <v>820762.00000000023</v>
      </c>
      <c r="E19">
        <f>SUMIF('Campaign Data'!C:C,A19,'Campaign Data'!H:H)</f>
        <v>18574031</v>
      </c>
      <c r="F19">
        <f>SUMIF('Campaign Data'!C:C,A19,'Campaign Data'!I:I)</f>
        <v>407045</v>
      </c>
      <c r="G19">
        <f>SUMIF('Campaign Data'!C:C,A19,'Campaign Data'!J:J)</f>
        <v>14482</v>
      </c>
      <c r="H19" s="7">
        <f t="shared" si="0"/>
        <v>5.3194763028653949</v>
      </c>
    </row>
    <row r="20" spans="1:8" x14ac:dyDescent="0.35">
      <c r="A20" t="s">
        <v>28</v>
      </c>
      <c r="B20">
        <f>COUNTIF('Campaign Data'!C:C,A20)</f>
        <v>60</v>
      </c>
      <c r="C20" s="9">
        <f>SUMIF('Campaign Data'!C:C,A20,'Campaign Data'!G:G)</f>
        <v>275590.62000000011</v>
      </c>
      <c r="D20" s="9">
        <f>SUMIF('Campaign Data'!C:C,A20,'Campaign Data'!K:K)</f>
        <v>4401879.9800000004</v>
      </c>
      <c r="E20">
        <f>SUMIF('Campaign Data'!C:C,A20,'Campaign Data'!H:H)</f>
        <v>16105523</v>
      </c>
      <c r="F20">
        <f>SUMIF('Campaign Data'!C:C,A20,'Campaign Data'!I:I)</f>
        <v>836174</v>
      </c>
      <c r="G20">
        <f>SUMIF('Campaign Data'!C:C,A20,'Campaign Data'!J:J)</f>
        <v>54996</v>
      </c>
      <c r="H20" s="7">
        <f t="shared" si="0"/>
        <v>15.972531938859163</v>
      </c>
    </row>
    <row r="21" spans="1:8" x14ac:dyDescent="0.35">
      <c r="A21" t="s">
        <v>17</v>
      </c>
      <c r="B21">
        <f>COUNTIF('Campaign Data'!C:C,A21)</f>
        <v>62</v>
      </c>
      <c r="C21" s="9">
        <f>SUMIF('Campaign Data'!C:C,A21,'Campaign Data'!G:G)</f>
        <v>132460.75</v>
      </c>
      <c r="D21" s="9">
        <f>SUMIF('Campaign Data'!C:C,A21,'Campaign Data'!K:K)</f>
        <v>415144.27999999991</v>
      </c>
      <c r="E21">
        <f>SUMIF('Campaign Data'!C:C,A21,'Campaign Data'!H:H)</f>
        <v>13800541</v>
      </c>
      <c r="F21">
        <f>SUMIF('Campaign Data'!C:C,A21,'Campaign Data'!I:I)</f>
        <v>272252</v>
      </c>
      <c r="G21">
        <f>SUMIF('Campaign Data'!C:C,A21,'Campaign Data'!J:J)</f>
        <v>8548</v>
      </c>
      <c r="H21" s="7">
        <f t="shared" si="0"/>
        <v>3.1340927784268162</v>
      </c>
    </row>
    <row r="22" spans="1:8" x14ac:dyDescent="0.35">
      <c r="A22" t="s">
        <v>37</v>
      </c>
      <c r="B22">
        <f>COUNTIF('Campaign Data'!C:C,A22)</f>
        <v>51</v>
      </c>
      <c r="C22" s="9">
        <f>SUMIF('Campaign Data'!C:C,A22,'Campaign Data'!G:G)</f>
        <v>293785.24000000005</v>
      </c>
      <c r="D22" s="9">
        <f>SUMIF('Campaign Data'!C:C,A22,'Campaign Data'!K:K)</f>
        <v>513536.53</v>
      </c>
      <c r="E22">
        <f>SUMIF('Campaign Data'!C:C,A22,'Campaign Data'!H:H)</f>
        <v>11948779</v>
      </c>
      <c r="F22">
        <f>SUMIF('Campaign Data'!C:C,A22,'Campaign Data'!I:I)</f>
        <v>115582</v>
      </c>
      <c r="G22">
        <f>SUMIF('Campaign Data'!C:C,A22,'Campaign Data'!J:J)</f>
        <v>3024</v>
      </c>
      <c r="H22" s="7">
        <f t="shared" si="0"/>
        <v>1.7479997633645583</v>
      </c>
    </row>
    <row r="23" spans="1:8" x14ac:dyDescent="0.35">
      <c r="A23" t="s">
        <v>41</v>
      </c>
      <c r="B23">
        <f>COUNTIF('Campaign Data'!C:C,A23)</f>
        <v>62</v>
      </c>
      <c r="C23" s="9">
        <f>SUMIF('Campaign Data'!C:C,A23,'Campaign Data'!G:G)</f>
        <v>101476.69000000005</v>
      </c>
      <c r="D23" s="9">
        <f>SUMIF('Campaign Data'!C:C,A23,'Campaign Data'!K:K)</f>
        <v>312618.48000000004</v>
      </c>
      <c r="E23">
        <f>SUMIF('Campaign Data'!C:C,A23,'Campaign Data'!H:H)</f>
        <v>16416668</v>
      </c>
      <c r="F23">
        <f>SUMIF('Campaign Data'!C:C,A23,'Campaign Data'!I:I)</f>
        <v>409546</v>
      </c>
      <c r="G23">
        <f>SUMIF('Campaign Data'!C:C,A23,'Campaign Data'!J:J)</f>
        <v>7829</v>
      </c>
      <c r="H23" s="7">
        <f t="shared" si="0"/>
        <v>3.0806925216027432</v>
      </c>
    </row>
    <row r="24" spans="1:8" x14ac:dyDescent="0.35">
      <c r="A24" t="s">
        <v>60</v>
      </c>
      <c r="B24">
        <f>COUNTIF('Campaign Data'!C:C,A24)</f>
        <v>56</v>
      </c>
      <c r="C24" s="9">
        <f>SUMIF('Campaign Data'!C:C,A24,'Campaign Data'!G:G)</f>
        <v>167108.25000000003</v>
      </c>
      <c r="D24" s="9">
        <f>SUMIF('Campaign Data'!C:C,A24,'Campaign Data'!K:K)</f>
        <v>203135.99</v>
      </c>
      <c r="E24">
        <f>SUMIF('Campaign Data'!C:C,A24,'Campaign Data'!H:H)</f>
        <v>13488407</v>
      </c>
      <c r="F24">
        <f>SUMIF('Campaign Data'!C:C,A24,'Campaign Data'!I:I)</f>
        <v>165997</v>
      </c>
      <c r="G24">
        <f>SUMIF('Campaign Data'!C:C,A24,'Campaign Data'!J:J)</f>
        <v>3794</v>
      </c>
      <c r="H24" s="7">
        <f t="shared" si="0"/>
        <v>1.215595220463382</v>
      </c>
    </row>
    <row r="25" spans="1:8" x14ac:dyDescent="0.35">
      <c r="C25" s="9"/>
      <c r="D25" s="9"/>
      <c r="H25" s="7"/>
    </row>
    <row r="26" spans="1:8" x14ac:dyDescent="0.35">
      <c r="C26" s="9"/>
      <c r="D26" s="9"/>
      <c r="H26" s="7"/>
    </row>
    <row r="27" spans="1:8" x14ac:dyDescent="0.35">
      <c r="C27" s="9"/>
      <c r="D27" s="9"/>
      <c r="H27" s="7"/>
    </row>
    <row r="28" spans="1:8" x14ac:dyDescent="0.35">
      <c r="A28" s="14" t="s">
        <v>168</v>
      </c>
      <c r="B28" s="15"/>
      <c r="C28" s="16"/>
      <c r="D28" s="16"/>
      <c r="E28" s="15"/>
      <c r="F28" s="15"/>
      <c r="G28" s="15"/>
      <c r="H28" s="17"/>
    </row>
    <row r="29" spans="1:8" x14ac:dyDescent="0.35">
      <c r="A29" s="4" t="s">
        <v>169</v>
      </c>
      <c r="B29" s="4" t="s">
        <v>161</v>
      </c>
      <c r="C29" s="12" t="s">
        <v>162</v>
      </c>
      <c r="D29" s="12" t="s">
        <v>163</v>
      </c>
      <c r="E29" s="4" t="s">
        <v>164</v>
      </c>
      <c r="F29" s="4" t="s">
        <v>165</v>
      </c>
      <c r="G29" s="4" t="s">
        <v>166</v>
      </c>
      <c r="H29" s="13" t="s">
        <v>167</v>
      </c>
    </row>
    <row r="30" spans="1:8" x14ac:dyDescent="0.35">
      <c r="A30" t="s">
        <v>26</v>
      </c>
      <c r="B30">
        <f>COUNTIF('Campaign Data'!D:D,A30)</f>
        <v>111</v>
      </c>
      <c r="C30" s="9">
        <f>SUMIF('Campaign Data'!D:D,A30,'Campaign Data'!G:G)</f>
        <v>247573.22999999998</v>
      </c>
      <c r="D30" s="9">
        <f>SUMIF('Campaign Data'!D:D,A30,'Campaign Data'!K:K)</f>
        <v>2816303.9199999995</v>
      </c>
      <c r="E30">
        <f>SUMIF('Campaign Data'!D:D,A30,'Campaign Data'!H:H)</f>
        <v>25557670</v>
      </c>
      <c r="F30">
        <f>SUMIF('Campaign Data'!D:D,A30,'Campaign Data'!I:I)</f>
        <v>776009</v>
      </c>
      <c r="G30">
        <f>SUMIF('Campaign Data'!D:D,A30,'Campaign Data'!J:J)</f>
        <v>38463</v>
      </c>
      <c r="H30" s="7">
        <f>IFERROR(D30/C30,0)</f>
        <v>11.375639926820842</v>
      </c>
    </row>
    <row r="31" spans="1:8" x14ac:dyDescent="0.35">
      <c r="A31" t="s">
        <v>38</v>
      </c>
      <c r="B31">
        <f>COUNTIF('Campaign Data'!D:D,A31)</f>
        <v>105</v>
      </c>
      <c r="C31" s="9">
        <f>SUMIF('Campaign Data'!D:D,A31,'Campaign Data'!G:G)</f>
        <v>262591.78000000003</v>
      </c>
      <c r="D31" s="9">
        <f>SUMIF('Campaign Data'!D:D,A31,'Campaign Data'!K:K)</f>
        <v>2200752.6400000006</v>
      </c>
      <c r="E31">
        <f>SUMIF('Campaign Data'!D:D,A31,'Campaign Data'!H:H)</f>
        <v>27483931</v>
      </c>
      <c r="F31">
        <f>SUMIF('Campaign Data'!D:D,A31,'Campaign Data'!I:I)</f>
        <v>726035</v>
      </c>
      <c r="G31">
        <f>SUMIF('Campaign Data'!D:D,A31,'Campaign Data'!J:J)</f>
        <v>33456</v>
      </c>
      <c r="H31" s="7">
        <f>IFERROR(D31/C31,0)</f>
        <v>8.3808893027801563</v>
      </c>
    </row>
    <row r="32" spans="1:8" x14ac:dyDescent="0.35">
      <c r="A32" t="s">
        <v>23</v>
      </c>
      <c r="B32">
        <f>COUNTIF('Campaign Data'!D:D,A32)</f>
        <v>106</v>
      </c>
      <c r="C32" s="9">
        <f>SUMIF('Campaign Data'!D:D,A32,'Campaign Data'!G:G)</f>
        <v>273238.63000000006</v>
      </c>
      <c r="D32" s="9">
        <f>SUMIF('Campaign Data'!D:D,A32,'Campaign Data'!K:K)</f>
        <v>3676561.74</v>
      </c>
      <c r="E32">
        <f>SUMIF('Campaign Data'!D:D,A32,'Campaign Data'!H:H)</f>
        <v>27869498</v>
      </c>
      <c r="F32">
        <f>SUMIF('Campaign Data'!D:D,A32,'Campaign Data'!I:I)</f>
        <v>874825</v>
      </c>
      <c r="G32">
        <f>SUMIF('Campaign Data'!D:D,A32,'Campaign Data'!J:J)</f>
        <v>51331</v>
      </c>
      <c r="H32" s="7">
        <f>IFERROR(D32/C32,0)</f>
        <v>13.455497635894307</v>
      </c>
    </row>
    <row r="33" spans="1:8" x14ac:dyDescent="0.35">
      <c r="A33" t="s">
        <v>20</v>
      </c>
      <c r="B33">
        <f>COUNTIF('Campaign Data'!D:D,A33)</f>
        <v>91</v>
      </c>
      <c r="C33" s="9">
        <f>SUMIF('Campaign Data'!D:D,A33,'Campaign Data'!G:G)</f>
        <v>242285.19000000003</v>
      </c>
      <c r="D33" s="9">
        <f>SUMIF('Campaign Data'!D:D,A33,'Campaign Data'!K:K)</f>
        <v>2131725.96</v>
      </c>
      <c r="E33">
        <f>SUMIF('Campaign Data'!D:D,A33,'Campaign Data'!H:H)</f>
        <v>23172896</v>
      </c>
      <c r="F33">
        <f>SUMIF('Campaign Data'!D:D,A33,'Campaign Data'!I:I)</f>
        <v>651869</v>
      </c>
      <c r="G33">
        <f>SUMIF('Campaign Data'!D:D,A33,'Campaign Data'!J:J)</f>
        <v>36903</v>
      </c>
      <c r="H33" s="7">
        <f>IFERROR(D33/C33,0)</f>
        <v>8.7984162795918301</v>
      </c>
    </row>
    <row r="34" spans="1:8" x14ac:dyDescent="0.35">
      <c r="A34" t="s">
        <v>18</v>
      </c>
      <c r="B34">
        <f>COUNTIF('Campaign Data'!D:D,A34)</f>
        <v>87</v>
      </c>
      <c r="C34" s="9">
        <f>SUMIF('Campaign Data'!D:D,A34,'Campaign Data'!G:G)</f>
        <v>213821.14000000007</v>
      </c>
      <c r="D34" s="9">
        <f>SUMIF('Campaign Data'!D:D,A34,'Campaign Data'!K:K)</f>
        <v>1476094.33</v>
      </c>
      <c r="E34">
        <f>SUMIF('Campaign Data'!D:D,A34,'Campaign Data'!H:H)</f>
        <v>21480574</v>
      </c>
      <c r="F34">
        <f>SUMIF('Campaign Data'!D:D,A34,'Campaign Data'!I:I)</f>
        <v>518618</v>
      </c>
      <c r="G34">
        <f>SUMIF('Campaign Data'!D:D,A34,'Campaign Data'!J:J)</f>
        <v>23119</v>
      </c>
      <c r="H34" s="7">
        <f>IFERROR(D34/C34,0)</f>
        <v>6.9034068848384198</v>
      </c>
    </row>
    <row r="35" spans="1:8" x14ac:dyDescent="0.35">
      <c r="C35" s="9"/>
      <c r="D35" s="9"/>
      <c r="H35" s="7"/>
    </row>
    <row r="36" spans="1:8" x14ac:dyDescent="0.35">
      <c r="C36" s="9"/>
      <c r="D36" s="9"/>
      <c r="H36" s="7"/>
    </row>
    <row r="37" spans="1:8" x14ac:dyDescent="0.35">
      <c r="C37" s="9"/>
      <c r="D37" s="9"/>
      <c r="H37" s="7"/>
    </row>
    <row r="38" spans="1:8" x14ac:dyDescent="0.35">
      <c r="A38" s="14" t="s">
        <v>170</v>
      </c>
      <c r="B38" s="15"/>
      <c r="C38" s="16"/>
      <c r="D38" s="16"/>
      <c r="E38" s="15"/>
      <c r="F38" s="15"/>
      <c r="G38" s="15"/>
      <c r="H38" s="7"/>
    </row>
    <row r="39" spans="1:8" x14ac:dyDescent="0.35">
      <c r="A39" s="4" t="s">
        <v>171</v>
      </c>
      <c r="B39" s="4" t="s">
        <v>160</v>
      </c>
      <c r="C39" s="12" t="s">
        <v>172</v>
      </c>
      <c r="D39" s="12" t="s">
        <v>162</v>
      </c>
      <c r="E39" s="4" t="s">
        <v>163</v>
      </c>
      <c r="F39" s="4" t="s">
        <v>166</v>
      </c>
      <c r="G39" s="4" t="s">
        <v>167</v>
      </c>
      <c r="H39" s="7"/>
    </row>
    <row r="40" spans="1:8" x14ac:dyDescent="0.35">
      <c r="A40" t="str">
        <f>'Campaign Data'!B7</f>
        <v>Flash Deal - Google</v>
      </c>
      <c r="B40" t="str">
        <f>'Campaign Data'!C7</f>
        <v>Google Search Ads</v>
      </c>
      <c r="C40" s="9" t="str">
        <f>'Campaign Data'!D7</f>
        <v>Lead Generation</v>
      </c>
      <c r="D40" s="9">
        <f>'Campaign Data'!G7</f>
        <v>3663.07</v>
      </c>
      <c r="E40">
        <f>'Campaign Data'!K7</f>
        <v>337931.6</v>
      </c>
      <c r="F40">
        <f>'Campaign Data'!J7</f>
        <v>2840</v>
      </c>
      <c r="G40" s="7">
        <f>'Campaign Data'!N7</f>
        <v>92.253656086288274</v>
      </c>
      <c r="H40" s="7"/>
    </row>
    <row r="41" spans="1:8" x14ac:dyDescent="0.35">
      <c r="A41" t="str">
        <f>'Campaign Data'!B486</f>
        <v>Brand Refresh - Google</v>
      </c>
      <c r="B41" t="str">
        <f>'Campaign Data'!C486</f>
        <v>Google Search Ads</v>
      </c>
      <c r="C41" s="9" t="str">
        <f>'Campaign Data'!D486</f>
        <v>Lead Generation</v>
      </c>
      <c r="D41" s="9">
        <f>'Campaign Data'!G486</f>
        <v>6239.5</v>
      </c>
      <c r="E41">
        <f>'Campaign Data'!K486</f>
        <v>260831.67</v>
      </c>
      <c r="F41">
        <f>'Campaign Data'!J486</f>
        <v>2761</v>
      </c>
      <c r="G41" s="7">
        <f>'Campaign Data'!N486</f>
        <v>41.803296738520714</v>
      </c>
      <c r="H41" s="7"/>
    </row>
    <row r="42" spans="1:8" x14ac:dyDescent="0.35">
      <c r="A42" t="str">
        <f>'Campaign Data'!B88</f>
        <v>Product Launch - Email</v>
      </c>
      <c r="B42" t="str">
        <f>'Campaign Data'!C88</f>
        <v>Email Marketing</v>
      </c>
      <c r="C42" s="9" t="str">
        <f>'Campaign Data'!D88</f>
        <v>Conversion</v>
      </c>
      <c r="D42" s="9">
        <f>'Campaign Data'!G88</f>
        <v>272.54000000000002</v>
      </c>
      <c r="E42">
        <f>'Campaign Data'!K88</f>
        <v>205182.6</v>
      </c>
      <c r="F42">
        <f>'Campaign Data'!J88</f>
        <v>2058</v>
      </c>
      <c r="G42" s="7">
        <f>'Campaign Data'!N88</f>
        <v>752.85315916929619</v>
      </c>
      <c r="H42" s="7"/>
    </row>
    <row r="43" spans="1:8" x14ac:dyDescent="0.35">
      <c r="A43" t="str">
        <f>'Campaign Data'!B244</f>
        <v>New Customer Push - Email</v>
      </c>
      <c r="B43" t="str">
        <f>'Campaign Data'!C244</f>
        <v>Email Marketing</v>
      </c>
      <c r="C43" s="9" t="str">
        <f>'Campaign Data'!D244</f>
        <v>Lead Generation</v>
      </c>
      <c r="D43" s="9">
        <f>'Campaign Data'!G244</f>
        <v>655.81</v>
      </c>
      <c r="E43">
        <f>'Campaign Data'!K244</f>
        <v>180436.41</v>
      </c>
      <c r="F43">
        <f>'Campaign Data'!J244</f>
        <v>2541</v>
      </c>
      <c r="G43" s="7">
        <f>'Campaign Data'!N244</f>
        <v>275.13519159512668</v>
      </c>
      <c r="H43" s="7"/>
    </row>
    <row r="44" spans="1:8" x14ac:dyDescent="0.35">
      <c r="A44" t="str">
        <f>'Campaign Data'!B67</f>
        <v>Flash Deal - Google</v>
      </c>
      <c r="B44" t="str">
        <f>'Campaign Data'!C67</f>
        <v>Google Search Ads</v>
      </c>
      <c r="C44" s="9" t="str">
        <f>'Campaign Data'!D67</f>
        <v>Lead Generation</v>
      </c>
      <c r="D44" s="9">
        <f>'Campaign Data'!G67</f>
        <v>3385.94</v>
      </c>
      <c r="E44">
        <f>'Campaign Data'!K67</f>
        <v>171006.32</v>
      </c>
      <c r="F44">
        <f>'Campaign Data'!J67</f>
        <v>1906</v>
      </c>
      <c r="G44" s="7">
        <f>'Campaign Data'!N67</f>
        <v>50.504828792004588</v>
      </c>
      <c r="H44" s="7"/>
    </row>
    <row r="45" spans="1:8" x14ac:dyDescent="0.35">
      <c r="A45" t="str">
        <f>'Campaign Data'!B367</f>
        <v>Brand Refresh - Google</v>
      </c>
      <c r="B45" t="str">
        <f>'Campaign Data'!C367</f>
        <v>Google Search Ads</v>
      </c>
      <c r="C45" s="9" t="str">
        <f>'Campaign Data'!D367</f>
        <v>Conversion</v>
      </c>
      <c r="D45" s="9">
        <f>'Campaign Data'!G367</f>
        <v>9446.0300000000007</v>
      </c>
      <c r="E45">
        <f>'Campaign Data'!K367</f>
        <v>169392.24</v>
      </c>
      <c r="F45">
        <f>'Campaign Data'!J367</f>
        <v>2316</v>
      </c>
      <c r="G45" s="7">
        <f>'Campaign Data'!N367</f>
        <v>17.932638367652864</v>
      </c>
      <c r="H45" s="7"/>
    </row>
    <row r="46" spans="1:8" x14ac:dyDescent="0.35">
      <c r="A46" t="str">
        <f>'Campaign Data'!B176</f>
        <v>VIP Early Access - Google</v>
      </c>
      <c r="B46" t="str">
        <f>'Campaign Data'!C176</f>
        <v>Google Search Ads</v>
      </c>
      <c r="C46" s="9" t="str">
        <f>'Campaign Data'!D176</f>
        <v>Brand Awareness</v>
      </c>
      <c r="D46" s="9">
        <f>'Campaign Data'!G176</f>
        <v>5835.7</v>
      </c>
      <c r="E46">
        <f>'Campaign Data'!K176</f>
        <v>165859.26</v>
      </c>
      <c r="F46">
        <f>'Campaign Data'!J176</f>
        <v>2226</v>
      </c>
      <c r="G46" s="7">
        <f>'Campaign Data'!N176</f>
        <v>28.421484997515297</v>
      </c>
      <c r="H46" s="7"/>
    </row>
    <row r="47" spans="1:8" x14ac:dyDescent="0.35">
      <c r="A47" t="str">
        <f>'Campaign Data'!B381</f>
        <v>Weekend Special - Email</v>
      </c>
      <c r="B47" t="str">
        <f>'Campaign Data'!C381</f>
        <v>Email Marketing</v>
      </c>
      <c r="C47" s="9" t="str">
        <f>'Campaign Data'!D381</f>
        <v>Retargeting</v>
      </c>
      <c r="D47" s="9">
        <f>'Campaign Data'!G381</f>
        <v>277.64999999999998</v>
      </c>
      <c r="E47">
        <f>'Campaign Data'!K381</f>
        <v>160588.09</v>
      </c>
      <c r="F47">
        <f>'Campaign Data'!J381</f>
        <v>1807</v>
      </c>
      <c r="G47" s="7">
        <f>'Campaign Data'!N381</f>
        <v>578.38318026292097</v>
      </c>
      <c r="H47" s="7"/>
    </row>
    <row r="48" spans="1:8" x14ac:dyDescent="0.35">
      <c r="A48" t="str">
        <f>'Campaign Data'!B218</f>
        <v>App Install Drive - Email</v>
      </c>
      <c r="B48" t="str">
        <f>'Campaign Data'!C218</f>
        <v>Email Marketing</v>
      </c>
      <c r="C48" s="9" t="str">
        <f>'Campaign Data'!D218</f>
        <v>Product Launch</v>
      </c>
      <c r="D48" s="9">
        <f>'Campaign Data'!G218</f>
        <v>655.24</v>
      </c>
      <c r="E48">
        <f>'Campaign Data'!K218</f>
        <v>148851.6</v>
      </c>
      <c r="F48">
        <f>'Campaign Data'!J218</f>
        <v>3260</v>
      </c>
      <c r="G48" s="7">
        <f>'Campaign Data'!N218</f>
        <v>227.17111287467188</v>
      </c>
      <c r="H48" s="7"/>
    </row>
    <row r="49" spans="1:8" x14ac:dyDescent="0.35">
      <c r="A49" t="str">
        <f>'Campaign Data'!B249</f>
        <v>VIP Early Access - Google</v>
      </c>
      <c r="B49" t="str">
        <f>'Campaign Data'!C249</f>
        <v>Google Search Ads</v>
      </c>
      <c r="C49" s="9" t="str">
        <f>'Campaign Data'!D249</f>
        <v>Conversion</v>
      </c>
      <c r="D49" s="9">
        <f>'Campaign Data'!G249</f>
        <v>4472.5600000000004</v>
      </c>
      <c r="E49">
        <f>'Campaign Data'!K249</f>
        <v>144384.24</v>
      </c>
      <c r="F49">
        <f>'Campaign Data'!J249</f>
        <v>2404</v>
      </c>
      <c r="G49" s="7">
        <f>'Campaign Data'!N249</f>
        <v>32.282236571449012</v>
      </c>
      <c r="H49" s="7"/>
    </row>
    <row r="50" spans="1:8" x14ac:dyDescent="0.35">
      <c r="A50" t="str">
        <f>'Campaign Data'!B256</f>
        <v>VIP Early Access - Google</v>
      </c>
      <c r="B50" t="str">
        <f>'Campaign Data'!C256</f>
        <v>Google Search Ads</v>
      </c>
      <c r="C50" s="9" t="str">
        <f>'Campaign Data'!D256</f>
        <v>Product Launch</v>
      </c>
      <c r="D50" s="9">
        <f>'Campaign Data'!G256</f>
        <v>7048.31</v>
      </c>
      <c r="E50">
        <f>'Campaign Data'!K256</f>
        <v>142615.18</v>
      </c>
      <c r="F50">
        <f>'Campaign Data'!J256</f>
        <v>1594</v>
      </c>
      <c r="G50" s="7">
        <f>'Campaign Data'!N256</f>
        <v>20.233953954919688</v>
      </c>
      <c r="H50" s="7"/>
    </row>
    <row r="51" spans="1:8" x14ac:dyDescent="0.35">
      <c r="A51" t="str">
        <f>'Campaign Data'!B259</f>
        <v>Holiday Promo - Email</v>
      </c>
      <c r="B51" t="str">
        <f>'Campaign Data'!C259</f>
        <v>Email Marketing</v>
      </c>
      <c r="C51" s="9" t="str">
        <f>'Campaign Data'!D259</f>
        <v>Lead Generation</v>
      </c>
      <c r="D51" s="9">
        <f>'Campaign Data'!G259</f>
        <v>330.47</v>
      </c>
      <c r="E51">
        <f>'Campaign Data'!K259</f>
        <v>141818.1</v>
      </c>
      <c r="F51">
        <f>'Campaign Data'!J259</f>
        <v>2355</v>
      </c>
      <c r="G51" s="7">
        <f>'Campaign Data'!N259</f>
        <v>429.14061790782824</v>
      </c>
      <c r="H51" s="7"/>
    </row>
    <row r="52" spans="1:8" x14ac:dyDescent="0.35">
      <c r="A52" t="str">
        <f>'Campaign Data'!B195</f>
        <v>Product Launch - Email</v>
      </c>
      <c r="B52" t="str">
        <f>'Campaign Data'!C195</f>
        <v>Email Marketing</v>
      </c>
      <c r="C52" s="9" t="str">
        <f>'Campaign Data'!D195</f>
        <v>Brand Awareness</v>
      </c>
      <c r="D52" s="9">
        <f>'Campaign Data'!G195</f>
        <v>626.1</v>
      </c>
      <c r="E52">
        <f>'Campaign Data'!K195</f>
        <v>138241.32</v>
      </c>
      <c r="F52">
        <f>'Campaign Data'!J195</f>
        <v>1393</v>
      </c>
      <c r="G52" s="7">
        <f>'Campaign Data'!N195</f>
        <v>220.79750838524197</v>
      </c>
      <c r="H52" s="7"/>
    </row>
    <row r="53" spans="1:8" x14ac:dyDescent="0.35">
      <c r="A53" t="str">
        <f>'Campaign Data'!B264</f>
        <v>Product Launch - Affiliate</v>
      </c>
      <c r="B53" t="str">
        <f>'Campaign Data'!C264</f>
        <v>Affiliate Marketing</v>
      </c>
      <c r="C53" s="9" t="str">
        <f>'Campaign Data'!D264</f>
        <v>Brand Awareness</v>
      </c>
      <c r="D53" s="9">
        <f>'Campaign Data'!G264</f>
        <v>2557.41</v>
      </c>
      <c r="E53">
        <f>'Campaign Data'!K264</f>
        <v>124996.3</v>
      </c>
      <c r="F53">
        <f>'Campaign Data'!J264</f>
        <v>1430</v>
      </c>
      <c r="G53" s="7">
        <f>'Campaign Data'!N264</f>
        <v>48.876128583215056</v>
      </c>
      <c r="H53" s="7"/>
    </row>
    <row r="54" spans="1:8" x14ac:dyDescent="0.35">
      <c r="A54" t="str">
        <f>'Campaign Data'!B219</f>
        <v>New Customer Push - Google</v>
      </c>
      <c r="B54" t="str">
        <f>'Campaign Data'!C219</f>
        <v>Google Search Ads</v>
      </c>
      <c r="C54" s="9" t="str">
        <f>'Campaign Data'!D219</f>
        <v>Conversion</v>
      </c>
      <c r="D54" s="9">
        <f>'Campaign Data'!G219</f>
        <v>8688.2999999999993</v>
      </c>
      <c r="E54">
        <f>'Campaign Data'!K219</f>
        <v>121892.52</v>
      </c>
      <c r="F54">
        <f>'Campaign Data'!J219</f>
        <v>1308</v>
      </c>
      <c r="G54" s="7">
        <f>'Campaign Data'!N219</f>
        <v>14.029501743724321</v>
      </c>
      <c r="H54" s="7"/>
    </row>
  </sheetData>
  <mergeCells count="4">
    <mergeCell ref="A28:H28"/>
    <mergeCell ref="A15:H15"/>
    <mergeCell ref="A38:G38"/>
    <mergeCell ref="A1:H1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3"/>
  <sheetViews>
    <sheetView showGridLines="0" workbookViewId="0">
      <pane ySplit="3" topLeftCell="A28" activePane="bottomLeft" state="frozen"/>
      <selection pane="bottomLeft" activeCell="Q35" sqref="Q35"/>
    </sheetView>
  </sheetViews>
  <sheetFormatPr defaultRowHeight="14.5" x14ac:dyDescent="0.35"/>
  <cols>
    <col min="1" max="12" width="14" customWidth="1"/>
  </cols>
  <sheetData>
    <row r="1" spans="1:12" x14ac:dyDescent="0.35">
      <c r="A1" s="20" t="s">
        <v>173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x14ac:dyDescent="0.3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4" spans="1:12" x14ac:dyDescent="0.35">
      <c r="A4" s="19" t="s">
        <v>150</v>
      </c>
      <c r="B4" s="15"/>
      <c r="C4" s="15"/>
      <c r="D4" s="19" t="s">
        <v>151</v>
      </c>
      <c r="E4" s="15"/>
      <c r="F4" s="15"/>
      <c r="G4" s="19" t="s">
        <v>152</v>
      </c>
      <c r="H4" s="15"/>
      <c r="I4" s="15"/>
      <c r="J4" s="19" t="s">
        <v>158</v>
      </c>
      <c r="K4" s="15"/>
      <c r="L4" s="15"/>
    </row>
    <row r="5" spans="1:12" x14ac:dyDescent="0.35">
      <c r="A5" s="22">
        <f>'Pivot Tables'!B3</f>
        <v>500</v>
      </c>
      <c r="B5" s="23"/>
      <c r="C5" s="24"/>
      <c r="D5" s="28">
        <f>'Pivot Tables'!B4</f>
        <v>1239509.9700000014</v>
      </c>
      <c r="E5" s="23"/>
      <c r="F5" s="24"/>
      <c r="G5" s="28">
        <f>'Pivot Tables'!B5</f>
        <v>12301438.589999996</v>
      </c>
      <c r="H5" s="23"/>
      <c r="I5" s="24"/>
      <c r="J5" s="29">
        <f>'Pivot Tables'!B11</f>
        <v>9.924436985367679</v>
      </c>
      <c r="K5" s="23"/>
      <c r="L5" s="24"/>
    </row>
    <row r="6" spans="1:12" x14ac:dyDescent="0.35">
      <c r="A6" s="25"/>
      <c r="B6" s="26"/>
      <c r="C6" s="27"/>
      <c r="D6" s="25"/>
      <c r="E6" s="26"/>
      <c r="F6" s="27"/>
      <c r="G6" s="25"/>
      <c r="H6" s="26"/>
      <c r="I6" s="27"/>
      <c r="J6" s="25"/>
      <c r="K6" s="26"/>
      <c r="L6" s="27"/>
    </row>
    <row r="8" spans="1:12" x14ac:dyDescent="0.35">
      <c r="A8" s="19" t="s">
        <v>164</v>
      </c>
      <c r="B8" s="15"/>
      <c r="C8" s="15"/>
      <c r="D8" s="19" t="s">
        <v>165</v>
      </c>
      <c r="E8" s="15"/>
      <c r="F8" s="15"/>
      <c r="G8" s="19" t="s">
        <v>166</v>
      </c>
      <c r="H8" s="15"/>
      <c r="I8" s="15"/>
      <c r="J8" s="19" t="s">
        <v>174</v>
      </c>
      <c r="K8" s="15"/>
      <c r="L8" s="15"/>
    </row>
    <row r="9" spans="1:12" x14ac:dyDescent="0.35">
      <c r="A9" s="31">
        <f>'Pivot Tables'!B6</f>
        <v>125564569</v>
      </c>
      <c r="B9" s="23"/>
      <c r="C9" s="24"/>
      <c r="D9" s="31">
        <f>'Pivot Tables'!B7</f>
        <v>3547356</v>
      </c>
      <c r="E9" s="23"/>
      <c r="F9" s="24"/>
      <c r="G9" s="31">
        <f>'Pivot Tables'!B8</f>
        <v>183272</v>
      </c>
      <c r="H9" s="23"/>
      <c r="I9" s="24"/>
      <c r="J9" s="30">
        <f>'Pivot Tables'!B10</f>
        <v>5.166439455188597E-2</v>
      </c>
      <c r="K9" s="23"/>
      <c r="L9" s="24"/>
    </row>
    <row r="10" spans="1:12" x14ac:dyDescent="0.35">
      <c r="A10" s="25"/>
      <c r="B10" s="26"/>
      <c r="C10" s="27"/>
      <c r="D10" s="25"/>
      <c r="E10" s="26"/>
      <c r="F10" s="27"/>
      <c r="G10" s="25"/>
      <c r="H10" s="26"/>
      <c r="I10" s="27"/>
      <c r="J10" s="25"/>
      <c r="K10" s="26"/>
      <c r="L10" s="27"/>
    </row>
    <row r="12" spans="1:12" x14ac:dyDescent="0.35">
      <c r="D12" s="36" t="s">
        <v>181</v>
      </c>
      <c r="E12" s="36"/>
      <c r="F12" s="36"/>
    </row>
    <row r="13" spans="1:12" x14ac:dyDescent="0.35">
      <c r="D13" s="35"/>
      <c r="E13" s="35"/>
      <c r="F13" s="35"/>
    </row>
    <row r="27" spans="4:6" x14ac:dyDescent="0.35">
      <c r="D27" s="36" t="s">
        <v>182</v>
      </c>
      <c r="E27" s="36"/>
      <c r="F27" s="36"/>
    </row>
    <row r="47" spans="1:12" x14ac:dyDescent="0.35">
      <c r="A47" s="21" t="s">
        <v>175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</row>
    <row r="48" spans="1:12" x14ac:dyDescent="0.35">
      <c r="A48" s="4" t="s">
        <v>171</v>
      </c>
      <c r="B48" s="4" t="s">
        <v>160</v>
      </c>
      <c r="C48" s="4" t="s">
        <v>172</v>
      </c>
      <c r="D48" s="4" t="s">
        <v>162</v>
      </c>
      <c r="E48" s="4" t="s">
        <v>163</v>
      </c>
      <c r="F48" s="4" t="s">
        <v>166</v>
      </c>
      <c r="G48" s="4" t="s">
        <v>167</v>
      </c>
    </row>
    <row r="49" spans="1:7" x14ac:dyDescent="0.35">
      <c r="A49" t="str">
        <f>'Pivot Tables'!A40</f>
        <v>Flash Deal - Google</v>
      </c>
      <c r="B49" t="str">
        <f>'Pivot Tables'!B40</f>
        <v>Google Search Ads</v>
      </c>
      <c r="C49" t="str">
        <f>'Pivot Tables'!C40</f>
        <v>Lead Generation</v>
      </c>
      <c r="D49">
        <f>'Pivot Tables'!D40</f>
        <v>3663.07</v>
      </c>
      <c r="E49">
        <f>'Pivot Tables'!E40</f>
        <v>337931.6</v>
      </c>
      <c r="F49">
        <f>'Pivot Tables'!F40</f>
        <v>2840</v>
      </c>
      <c r="G49" s="7">
        <f>'Pivot Tables'!G40</f>
        <v>92.253656086288274</v>
      </c>
    </row>
    <row r="50" spans="1:7" x14ac:dyDescent="0.35">
      <c r="A50" t="str">
        <f>'Pivot Tables'!A41</f>
        <v>Brand Refresh - Google</v>
      </c>
      <c r="B50" t="str">
        <f>'Pivot Tables'!B41</f>
        <v>Google Search Ads</v>
      </c>
      <c r="C50" t="str">
        <f>'Pivot Tables'!C41</f>
        <v>Lead Generation</v>
      </c>
      <c r="D50">
        <f>'Pivot Tables'!D41</f>
        <v>6239.5</v>
      </c>
      <c r="E50">
        <f>'Pivot Tables'!E41</f>
        <v>260831.67</v>
      </c>
      <c r="F50">
        <f>'Pivot Tables'!F41</f>
        <v>2761</v>
      </c>
      <c r="G50" s="7">
        <f>'Pivot Tables'!G41</f>
        <v>41.803296738520714</v>
      </c>
    </row>
    <row r="51" spans="1:7" x14ac:dyDescent="0.35">
      <c r="A51" t="str">
        <f>'Pivot Tables'!A42</f>
        <v>Product Launch - Email</v>
      </c>
      <c r="B51" t="str">
        <f>'Pivot Tables'!B42</f>
        <v>Email Marketing</v>
      </c>
      <c r="C51" t="str">
        <f>'Pivot Tables'!C42</f>
        <v>Conversion</v>
      </c>
      <c r="D51">
        <f>'Pivot Tables'!D42</f>
        <v>272.54000000000002</v>
      </c>
      <c r="E51">
        <f>'Pivot Tables'!E42</f>
        <v>205182.6</v>
      </c>
      <c r="F51">
        <f>'Pivot Tables'!F42</f>
        <v>2058</v>
      </c>
      <c r="G51" s="7">
        <f>'Pivot Tables'!G42</f>
        <v>752.85315916929619</v>
      </c>
    </row>
    <row r="52" spans="1:7" x14ac:dyDescent="0.35">
      <c r="A52" t="str">
        <f>'Pivot Tables'!A43</f>
        <v>New Customer Push - Email</v>
      </c>
      <c r="B52" t="str">
        <f>'Pivot Tables'!B43</f>
        <v>Email Marketing</v>
      </c>
      <c r="C52" t="str">
        <f>'Pivot Tables'!C43</f>
        <v>Lead Generation</v>
      </c>
      <c r="D52">
        <f>'Pivot Tables'!D43</f>
        <v>655.81</v>
      </c>
      <c r="E52">
        <f>'Pivot Tables'!E43</f>
        <v>180436.41</v>
      </c>
      <c r="F52">
        <f>'Pivot Tables'!F43</f>
        <v>2541</v>
      </c>
      <c r="G52" s="7">
        <f>'Pivot Tables'!G43</f>
        <v>275.13519159512668</v>
      </c>
    </row>
    <row r="53" spans="1:7" x14ac:dyDescent="0.35">
      <c r="A53" t="str">
        <f>'Pivot Tables'!A44</f>
        <v>Flash Deal - Google</v>
      </c>
      <c r="B53" t="str">
        <f>'Pivot Tables'!B44</f>
        <v>Google Search Ads</v>
      </c>
      <c r="C53" t="str">
        <f>'Pivot Tables'!C44</f>
        <v>Lead Generation</v>
      </c>
      <c r="D53">
        <f>'Pivot Tables'!D44</f>
        <v>3385.94</v>
      </c>
      <c r="E53">
        <f>'Pivot Tables'!E44</f>
        <v>171006.32</v>
      </c>
      <c r="F53">
        <f>'Pivot Tables'!F44</f>
        <v>1906</v>
      </c>
      <c r="G53" s="7">
        <f>'Pivot Tables'!G44</f>
        <v>50.504828792004588</v>
      </c>
    </row>
    <row r="54" spans="1:7" x14ac:dyDescent="0.35">
      <c r="A54" t="str">
        <f>'Pivot Tables'!A45</f>
        <v>Brand Refresh - Google</v>
      </c>
      <c r="B54" t="str">
        <f>'Pivot Tables'!B45</f>
        <v>Google Search Ads</v>
      </c>
      <c r="C54" t="str">
        <f>'Pivot Tables'!C45</f>
        <v>Conversion</v>
      </c>
      <c r="D54">
        <f>'Pivot Tables'!D45</f>
        <v>9446.0300000000007</v>
      </c>
      <c r="E54">
        <f>'Pivot Tables'!E45</f>
        <v>169392.24</v>
      </c>
      <c r="F54">
        <f>'Pivot Tables'!F45</f>
        <v>2316</v>
      </c>
      <c r="G54" s="7">
        <f>'Pivot Tables'!G45</f>
        <v>17.932638367652864</v>
      </c>
    </row>
    <row r="55" spans="1:7" x14ac:dyDescent="0.35">
      <c r="A55" t="str">
        <f>'Pivot Tables'!A46</f>
        <v>VIP Early Access - Google</v>
      </c>
      <c r="B55" t="str">
        <f>'Pivot Tables'!B46</f>
        <v>Google Search Ads</v>
      </c>
      <c r="C55" t="str">
        <f>'Pivot Tables'!C46</f>
        <v>Brand Awareness</v>
      </c>
      <c r="D55">
        <f>'Pivot Tables'!D46</f>
        <v>5835.7</v>
      </c>
      <c r="E55">
        <f>'Pivot Tables'!E46</f>
        <v>165859.26</v>
      </c>
      <c r="F55">
        <f>'Pivot Tables'!F46</f>
        <v>2226</v>
      </c>
      <c r="G55" s="7">
        <f>'Pivot Tables'!G46</f>
        <v>28.421484997515297</v>
      </c>
    </row>
    <row r="56" spans="1:7" x14ac:dyDescent="0.35">
      <c r="A56" t="str">
        <f>'Pivot Tables'!A47</f>
        <v>Weekend Special - Email</v>
      </c>
      <c r="B56" t="str">
        <f>'Pivot Tables'!B47</f>
        <v>Email Marketing</v>
      </c>
      <c r="C56" t="str">
        <f>'Pivot Tables'!C47</f>
        <v>Retargeting</v>
      </c>
      <c r="D56">
        <f>'Pivot Tables'!D47</f>
        <v>277.64999999999998</v>
      </c>
      <c r="E56">
        <f>'Pivot Tables'!E47</f>
        <v>160588.09</v>
      </c>
      <c r="F56">
        <f>'Pivot Tables'!F47</f>
        <v>1807</v>
      </c>
      <c r="G56" s="7">
        <f>'Pivot Tables'!G47</f>
        <v>578.38318026292097</v>
      </c>
    </row>
    <row r="57" spans="1:7" x14ac:dyDescent="0.35">
      <c r="A57" t="str">
        <f>'Pivot Tables'!A48</f>
        <v>App Install Drive - Email</v>
      </c>
      <c r="B57" t="str">
        <f>'Pivot Tables'!B48</f>
        <v>Email Marketing</v>
      </c>
      <c r="C57" t="str">
        <f>'Pivot Tables'!C48</f>
        <v>Product Launch</v>
      </c>
      <c r="D57">
        <f>'Pivot Tables'!D48</f>
        <v>655.24</v>
      </c>
      <c r="E57">
        <f>'Pivot Tables'!E48</f>
        <v>148851.6</v>
      </c>
      <c r="F57">
        <f>'Pivot Tables'!F48</f>
        <v>3260</v>
      </c>
      <c r="G57" s="7">
        <f>'Pivot Tables'!G48</f>
        <v>227.17111287467188</v>
      </c>
    </row>
    <row r="58" spans="1:7" x14ac:dyDescent="0.35">
      <c r="A58" t="str">
        <f>'Pivot Tables'!A49</f>
        <v>VIP Early Access - Google</v>
      </c>
      <c r="B58" t="str">
        <f>'Pivot Tables'!B49</f>
        <v>Google Search Ads</v>
      </c>
      <c r="C58" t="str">
        <f>'Pivot Tables'!C49</f>
        <v>Conversion</v>
      </c>
      <c r="D58">
        <f>'Pivot Tables'!D49</f>
        <v>4472.5600000000004</v>
      </c>
      <c r="E58">
        <f>'Pivot Tables'!E49</f>
        <v>144384.24</v>
      </c>
      <c r="F58">
        <f>'Pivot Tables'!F49</f>
        <v>2404</v>
      </c>
      <c r="G58" s="7">
        <f>'Pivot Tables'!G49</f>
        <v>32.282236571449012</v>
      </c>
    </row>
    <row r="59" spans="1:7" x14ac:dyDescent="0.35">
      <c r="A59" t="str">
        <f>'Pivot Tables'!A50</f>
        <v>VIP Early Access - Google</v>
      </c>
      <c r="B59" t="str">
        <f>'Pivot Tables'!B50</f>
        <v>Google Search Ads</v>
      </c>
      <c r="C59" t="str">
        <f>'Pivot Tables'!C50</f>
        <v>Product Launch</v>
      </c>
      <c r="D59">
        <f>'Pivot Tables'!D50</f>
        <v>7048.31</v>
      </c>
      <c r="E59">
        <f>'Pivot Tables'!E50</f>
        <v>142615.18</v>
      </c>
      <c r="F59">
        <f>'Pivot Tables'!F50</f>
        <v>1594</v>
      </c>
      <c r="G59" s="7">
        <f>'Pivot Tables'!G50</f>
        <v>20.233953954919688</v>
      </c>
    </row>
    <row r="60" spans="1:7" x14ac:dyDescent="0.35">
      <c r="A60" t="str">
        <f>'Pivot Tables'!A51</f>
        <v>Holiday Promo - Email</v>
      </c>
      <c r="B60" t="str">
        <f>'Pivot Tables'!B51</f>
        <v>Email Marketing</v>
      </c>
      <c r="C60" t="str">
        <f>'Pivot Tables'!C51</f>
        <v>Lead Generation</v>
      </c>
      <c r="D60">
        <f>'Pivot Tables'!D51</f>
        <v>330.47</v>
      </c>
      <c r="E60">
        <f>'Pivot Tables'!E51</f>
        <v>141818.1</v>
      </c>
      <c r="F60">
        <f>'Pivot Tables'!F51</f>
        <v>2355</v>
      </c>
      <c r="G60" s="7">
        <f>'Pivot Tables'!G51</f>
        <v>429.14061790782824</v>
      </c>
    </row>
    <row r="61" spans="1:7" x14ac:dyDescent="0.35">
      <c r="A61" t="str">
        <f>'Pivot Tables'!A52</f>
        <v>Product Launch - Email</v>
      </c>
      <c r="B61" t="str">
        <f>'Pivot Tables'!B52</f>
        <v>Email Marketing</v>
      </c>
      <c r="C61" t="str">
        <f>'Pivot Tables'!C52</f>
        <v>Brand Awareness</v>
      </c>
      <c r="D61">
        <f>'Pivot Tables'!D52</f>
        <v>626.1</v>
      </c>
      <c r="E61">
        <f>'Pivot Tables'!E52</f>
        <v>138241.32</v>
      </c>
      <c r="F61">
        <f>'Pivot Tables'!F52</f>
        <v>1393</v>
      </c>
      <c r="G61" s="7">
        <f>'Pivot Tables'!G52</f>
        <v>220.79750838524197</v>
      </c>
    </row>
    <row r="62" spans="1:7" x14ac:dyDescent="0.35">
      <c r="A62" t="str">
        <f>'Pivot Tables'!A53</f>
        <v>Product Launch - Affiliate</v>
      </c>
      <c r="B62" t="str">
        <f>'Pivot Tables'!B53</f>
        <v>Affiliate Marketing</v>
      </c>
      <c r="C62" t="str">
        <f>'Pivot Tables'!C53</f>
        <v>Brand Awareness</v>
      </c>
      <c r="D62">
        <f>'Pivot Tables'!D53</f>
        <v>2557.41</v>
      </c>
      <c r="E62">
        <f>'Pivot Tables'!E53</f>
        <v>124996.3</v>
      </c>
      <c r="F62">
        <f>'Pivot Tables'!F53</f>
        <v>1430</v>
      </c>
      <c r="G62" s="7">
        <f>'Pivot Tables'!G53</f>
        <v>48.876128583215056</v>
      </c>
    </row>
    <row r="63" spans="1:7" x14ac:dyDescent="0.35">
      <c r="A63" t="str">
        <f>'Pivot Tables'!A54</f>
        <v>New Customer Push - Google</v>
      </c>
      <c r="B63" t="str">
        <f>'Pivot Tables'!B54</f>
        <v>Google Search Ads</v>
      </c>
      <c r="C63" t="str">
        <f>'Pivot Tables'!C54</f>
        <v>Conversion</v>
      </c>
      <c r="D63">
        <f>'Pivot Tables'!D54</f>
        <v>8688.2999999999993</v>
      </c>
      <c r="E63">
        <f>'Pivot Tables'!E54</f>
        <v>121892.52</v>
      </c>
      <c r="F63">
        <f>'Pivot Tables'!F54</f>
        <v>1308</v>
      </c>
      <c r="G63" s="7">
        <f>'Pivot Tables'!G54</f>
        <v>14.029501743724321</v>
      </c>
    </row>
  </sheetData>
  <mergeCells count="20">
    <mergeCell ref="A47:L47"/>
    <mergeCell ref="A8:C8"/>
    <mergeCell ref="G8:I8"/>
    <mergeCell ref="J4:L4"/>
    <mergeCell ref="G5:I6"/>
    <mergeCell ref="J8:L8"/>
    <mergeCell ref="D12:F12"/>
    <mergeCell ref="D27:F27"/>
    <mergeCell ref="A1:L2"/>
    <mergeCell ref="D8:F8"/>
    <mergeCell ref="A5:C6"/>
    <mergeCell ref="J5:L6"/>
    <mergeCell ref="D4:F4"/>
    <mergeCell ref="A9:C10"/>
    <mergeCell ref="D9:F10"/>
    <mergeCell ref="D5:F6"/>
    <mergeCell ref="A4:C4"/>
    <mergeCell ref="G4:I4"/>
    <mergeCell ref="J9:L10"/>
    <mergeCell ref="G9:I10"/>
  </mergeCells>
  <conditionalFormatting sqref="G49:G6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Campaign Data</vt:lpstr>
      <vt:lpstr>Sheet1</vt:lpstr>
      <vt:lpstr>Pivot 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sxj</cp:lastModifiedBy>
  <dcterms:created xsi:type="dcterms:W3CDTF">2026-09-05T17:02:31Z</dcterms:created>
  <dcterms:modified xsi:type="dcterms:W3CDTF">2026-09-06T14:45:47Z</dcterms:modified>
</cp:coreProperties>
</file>